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sra\Downloads\"/>
    </mc:Choice>
  </mc:AlternateContent>
  <bookViews>
    <workbookView xWindow="0" yWindow="0" windowWidth="23040" windowHeight="9048" tabRatio="500" activeTab="1"/>
  </bookViews>
  <sheets>
    <sheet name="Combined AP Data" sheetId="2" r:id="rId1"/>
    <sheet name="Entity Summary" sheetId="8" r:id="rId2"/>
    <sheet name="Aging Analysis" sheetId="11" r:id="rId3"/>
    <sheet name="Vendor Analysis" sheetId="13" r:id="rId4"/>
    <sheet name="Entity Aging" sheetId="6" r:id="rId5"/>
    <sheet name="Top Vendors" sheetId="7" r:id="rId6"/>
  </sheets>
  <calcPr calcId="162913" iterateDelta="1E-4"/>
  <pivotCaches>
    <pivotCache cacheId="4" r:id="rId7"/>
    <pivotCache cacheId="1" r:id="rId8"/>
    <pivotCache cacheId="2" r:id="rId9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11" l="1"/>
  <c r="H6" i="11"/>
  <c r="H7" i="11"/>
  <c r="H8" i="11"/>
  <c r="H9" i="11"/>
  <c r="H5" i="11"/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3" i="2"/>
  <c r="J465" i="2" l="1"/>
  <c r="I465" i="2"/>
</calcChain>
</file>

<file path=xl/sharedStrings.xml><?xml version="1.0" encoding="utf-8"?>
<sst xmlns="http://schemas.openxmlformats.org/spreadsheetml/2006/main" count="2118" uniqueCount="221">
  <si>
    <t>Company</t>
  </si>
  <si>
    <t>Date</t>
  </si>
  <si>
    <t>Transaction Type</t>
  </si>
  <si>
    <t>Num</t>
  </si>
  <si>
    <t>Vendor</t>
  </si>
  <si>
    <t>Due Date</t>
  </si>
  <si>
    <t>Past Due</t>
  </si>
  <si>
    <t>Aging Bucket</t>
  </si>
  <si>
    <t>Amount</t>
  </si>
  <si>
    <t>Open Balance</t>
  </si>
  <si>
    <t>Travolta Engineers &amp; Builders LLC</t>
  </si>
  <si>
    <t>Bill</t>
  </si>
  <si>
    <t>Stormcon LLC</t>
  </si>
  <si>
    <t>91+ days</t>
  </si>
  <si>
    <t>BAKER CLEARVIEW OPERATING, LLC</t>
  </si>
  <si>
    <t>The ROBINSON Law Firm</t>
  </si>
  <si>
    <t>0070968819-IN</t>
  </si>
  <si>
    <t>Hyphen Solution</t>
  </si>
  <si>
    <t>0070968625-IN</t>
  </si>
  <si>
    <t>0070968624-IN</t>
  </si>
  <si>
    <t>0070985682-IN</t>
  </si>
  <si>
    <t>0070985329-IN</t>
  </si>
  <si>
    <t>0070985328-IN</t>
  </si>
  <si>
    <t>0071002271-IN</t>
  </si>
  <si>
    <t>0071002686-IN</t>
  </si>
  <si>
    <t>0071019491-IN</t>
  </si>
  <si>
    <t>0071039015-IN</t>
  </si>
  <si>
    <t>0071056471-IN</t>
  </si>
  <si>
    <t>0071074028-IN</t>
  </si>
  <si>
    <t>61-90 days</t>
  </si>
  <si>
    <t>0071091788-IN</t>
  </si>
  <si>
    <t>31-60 days</t>
  </si>
  <si>
    <t>0071110291-IN</t>
  </si>
  <si>
    <t>1-30 days</t>
  </si>
  <si>
    <t>Travolta Homes LLC</t>
  </si>
  <si>
    <t>DC21599-3871</t>
  </si>
  <si>
    <t>Alliance Geotechnical Group Inc</t>
  </si>
  <si>
    <t>DC21599-0309</t>
  </si>
  <si>
    <t>DC21599-0536</t>
  </si>
  <si>
    <t>DC21599-0849</t>
  </si>
  <si>
    <t>Geoscience Engineers, LLC</t>
  </si>
  <si>
    <t>2022-183</t>
  </si>
  <si>
    <t>Pipeline Land Service Inc</t>
  </si>
  <si>
    <t>DC21599-1206</t>
  </si>
  <si>
    <t>2022-246</t>
  </si>
  <si>
    <t>INV014592</t>
  </si>
  <si>
    <t>Trinity Green Services, LLC</t>
  </si>
  <si>
    <t>JDJR ENGINEERS &amp; CONSULTANTS, INC</t>
  </si>
  <si>
    <t>DC21599-1773</t>
  </si>
  <si>
    <t>AC894882</t>
  </si>
  <si>
    <t>Roome Land Surveying</t>
  </si>
  <si>
    <t>INV016216</t>
  </si>
  <si>
    <t>Oldham Lumber Company</t>
  </si>
  <si>
    <t>SYB CONSTRUCTION COMPANY,INC</t>
  </si>
  <si>
    <t>INDIA ASSOCIATION OF NORTH TEXAS</t>
  </si>
  <si>
    <t>INV017642</t>
  </si>
  <si>
    <t>INAF10023935</t>
  </si>
  <si>
    <t>Michael Page International Inc</t>
  </si>
  <si>
    <t>Potter Concrete Residential Ltd</t>
  </si>
  <si>
    <t>INV019935</t>
  </si>
  <si>
    <t>AC898030</t>
  </si>
  <si>
    <t>INV000152009</t>
  </si>
  <si>
    <t>Childress Engineering Services, Inc</t>
  </si>
  <si>
    <t>INV000152008</t>
  </si>
  <si>
    <t>INV000152010</t>
  </si>
  <si>
    <t>INV020639</t>
  </si>
  <si>
    <t>CR-22-202</t>
  </si>
  <si>
    <t>Irving Texas</t>
  </si>
  <si>
    <t>L&amp;S Mechanical - HVAC</t>
  </si>
  <si>
    <t>INV000155644</t>
  </si>
  <si>
    <t>INV021096</t>
  </si>
  <si>
    <t>Millen Oil Company</t>
  </si>
  <si>
    <t>ProStar Services Inc DBA Parks Coffee</t>
  </si>
  <si>
    <t>Texas Select Erosion</t>
  </si>
  <si>
    <t>INV023223</t>
  </si>
  <si>
    <t>AlphaGraphics</t>
  </si>
  <si>
    <t>INV023980</t>
  </si>
  <si>
    <t>INV023985</t>
  </si>
  <si>
    <t>B.G. Grading LLC</t>
  </si>
  <si>
    <t>202212-153</t>
  </si>
  <si>
    <t>E NUE DESIGN</t>
  </si>
  <si>
    <t>INV024904</t>
  </si>
  <si>
    <t>INV025214</t>
  </si>
  <si>
    <t>Journal Entry</t>
  </si>
  <si>
    <t>Adj Engineers&amp;Builder</t>
  </si>
  <si>
    <t>Engineers and Builders A/p</t>
  </si>
  <si>
    <t>Bush Rudnicki Shelton PC</t>
  </si>
  <si>
    <t>9016418927</t>
  </si>
  <si>
    <t>WILLSCOT</t>
  </si>
  <si>
    <t>SPIARS ENGINEERING &amp; SURVEYING</t>
  </si>
  <si>
    <t>9016527823</t>
  </si>
  <si>
    <t>Oralio Gelaso</t>
  </si>
  <si>
    <t>9016539883</t>
  </si>
  <si>
    <t>9016620316</t>
  </si>
  <si>
    <t>INV026527</t>
  </si>
  <si>
    <t>INV05251220</t>
  </si>
  <si>
    <t>Quench USA, Inc</t>
  </si>
  <si>
    <t>Miller Services, Inc.</t>
  </si>
  <si>
    <t>9016801491</t>
  </si>
  <si>
    <t>ECI</t>
  </si>
  <si>
    <t>INV028125</t>
  </si>
  <si>
    <t>9017086026</t>
  </si>
  <si>
    <t>INV028978</t>
  </si>
  <si>
    <t>INV028989</t>
  </si>
  <si>
    <t>INV029713</t>
  </si>
  <si>
    <t>CMAC Roofing LLC</t>
  </si>
  <si>
    <t>INV030129</t>
  </si>
  <si>
    <t>9017353726</t>
  </si>
  <si>
    <t>JOB(1090)</t>
  </si>
  <si>
    <t>Davis Consulting Engineers, PLLC</t>
  </si>
  <si>
    <t>CC030227</t>
  </si>
  <si>
    <t>Advanced Nameplates, Inc</t>
  </si>
  <si>
    <t>Virtual Protective</t>
  </si>
  <si>
    <t>INV05624063</t>
  </si>
  <si>
    <t>AC904608</t>
  </si>
  <si>
    <t>AC907267</t>
  </si>
  <si>
    <t>9017627181</t>
  </si>
  <si>
    <t>165157-3</t>
  </si>
  <si>
    <t>Complete LandSculpture</t>
  </si>
  <si>
    <t>9017784684</t>
  </si>
  <si>
    <t>Bri-Cor Contractors Inc</t>
  </si>
  <si>
    <t>2108.048-02</t>
  </si>
  <si>
    <t>EAGLE SURVEYING</t>
  </si>
  <si>
    <t>AC910816</t>
  </si>
  <si>
    <t>Travolta Investment LLC</t>
  </si>
  <si>
    <t>North Collin Special Utility District</t>
  </si>
  <si>
    <t>Travolta Marine LLC</t>
  </si>
  <si>
    <t>ADR Designs LLC</t>
  </si>
  <si>
    <t>Adj_Engineer&amp;Builder</t>
  </si>
  <si>
    <t>Aspen Engineers &amp; Builders LLC</t>
  </si>
  <si>
    <t>INV-00019615</t>
  </si>
  <si>
    <t>Glenn Thurman Inc</t>
  </si>
  <si>
    <t>Estimate#7</t>
  </si>
  <si>
    <t>TRAVOLTA MV LLC</t>
  </si>
  <si>
    <t>Aubrey Brick &amp; ClayStone Co.</t>
  </si>
  <si>
    <t>AC893374</t>
  </si>
  <si>
    <t>Burgess Construction Consultants Inc</t>
  </si>
  <si>
    <t>Potter Concrete Residential LTD</t>
  </si>
  <si>
    <t>AME Trash Removal</t>
  </si>
  <si>
    <t>INV#123553</t>
  </si>
  <si>
    <t>Alliance Materials, Inc.</t>
  </si>
  <si>
    <t>INV#123557</t>
  </si>
  <si>
    <t>INV#124387</t>
  </si>
  <si>
    <t>INV# 124997</t>
  </si>
  <si>
    <t>ES696997</t>
  </si>
  <si>
    <t>AC898029</t>
  </si>
  <si>
    <t>L&amp;S Mechanical - Plumbing</t>
  </si>
  <si>
    <t>INV123560</t>
  </si>
  <si>
    <t>INV125572</t>
  </si>
  <si>
    <t>WISENBAKER BUILDER SERVICES,INC.</t>
  </si>
  <si>
    <t>INV-MP3326</t>
  </si>
  <si>
    <t>Masterplan</t>
  </si>
  <si>
    <t>AC899750</t>
  </si>
  <si>
    <t>12619236RI(Paid viaCC</t>
  </si>
  <si>
    <t>ACME Brick</t>
  </si>
  <si>
    <t>L&amp;S Mechanical - Electric</t>
  </si>
  <si>
    <t>HomeTeam Pest Defense Inc</t>
  </si>
  <si>
    <t>Fireside Hearth &amp; Home</t>
  </si>
  <si>
    <t>BG Grading LLC</t>
  </si>
  <si>
    <t>C300433</t>
  </si>
  <si>
    <t>Fashion Glass &amp; Mirror</t>
  </si>
  <si>
    <t>C300432</t>
  </si>
  <si>
    <t>C300435</t>
  </si>
  <si>
    <t>C300434</t>
  </si>
  <si>
    <t>INV#139919</t>
  </si>
  <si>
    <t>INV#139921</t>
  </si>
  <si>
    <t>INV# 139922</t>
  </si>
  <si>
    <t>INV#139923</t>
  </si>
  <si>
    <t>INV# 139925</t>
  </si>
  <si>
    <t>INV# 139927</t>
  </si>
  <si>
    <t>INV#140523</t>
  </si>
  <si>
    <t>INV#140980</t>
  </si>
  <si>
    <t>FCCTX/22/105276</t>
  </si>
  <si>
    <t>FCC Environmental Service TX</t>
  </si>
  <si>
    <t>Adj_AspenEngineers_Re</t>
  </si>
  <si>
    <t>Aspen Enginners &amp; Builders LLC</t>
  </si>
  <si>
    <t>Bullseye Balloon Promotions Inc.</t>
  </si>
  <si>
    <t>VIRTUAL PROTECTIVE</t>
  </si>
  <si>
    <t>IN254006</t>
  </si>
  <si>
    <t>IN254128</t>
  </si>
  <si>
    <t>INV-MP4596</t>
  </si>
  <si>
    <t>Williams Insulation</t>
  </si>
  <si>
    <t>INV-MP4691</t>
  </si>
  <si>
    <t>AC899751</t>
  </si>
  <si>
    <t>AC899752</t>
  </si>
  <si>
    <t>AC899753</t>
  </si>
  <si>
    <t>AC899754</t>
  </si>
  <si>
    <t>Aurora Painting LLC</t>
  </si>
  <si>
    <t>Wonder Brothers</t>
  </si>
  <si>
    <t>INV-MP5041</t>
  </si>
  <si>
    <t>To WonderBro from8830</t>
  </si>
  <si>
    <t>PREMIER Waste Services, LLC</t>
  </si>
  <si>
    <t>INV-MP5271</t>
  </si>
  <si>
    <t>INV0156</t>
  </si>
  <si>
    <t>MNV CONSTRUCTION AND REMODELING LLC</t>
  </si>
  <si>
    <t>INV-MP5566</t>
  </si>
  <si>
    <t>Current</t>
  </si>
  <si>
    <t>Vendor Credit</t>
  </si>
  <si>
    <t>TOTAL</t>
  </si>
  <si>
    <t>Accounts Payable by Entity</t>
  </si>
  <si>
    <t>Transaction Count</t>
  </si>
  <si>
    <t>Total Open Balance</t>
  </si>
  <si>
    <t>Avg Open Balance</t>
  </si>
  <si>
    <t>Aging Analysis by Entity</t>
  </si>
  <si>
    <t>% Over 90 Days</t>
  </si>
  <si>
    <t>Sum of Open Balance</t>
  </si>
  <si>
    <t>Sum of Amount</t>
  </si>
  <si>
    <t>Grand Total</t>
  </si>
  <si>
    <t>Count of Past Due</t>
  </si>
  <si>
    <t>Total Accounts Payable</t>
  </si>
  <si>
    <t>% of AP</t>
  </si>
  <si>
    <t>Average of Past Due</t>
  </si>
  <si>
    <t>(All)</t>
  </si>
  <si>
    <t>Values</t>
  </si>
  <si>
    <t>Companies by Aging Bucket</t>
  </si>
  <si>
    <t xml:space="preserve">Companies </t>
  </si>
  <si>
    <t>Over 91 Days</t>
  </si>
  <si>
    <t>Top 15 Vendors</t>
  </si>
  <si>
    <t>Aging by Entity</t>
  </si>
  <si>
    <t>Rank by Open Balance</t>
  </si>
  <si>
    <t>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</si>
</sst>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.00"/>
    <numFmt numFmtId="167" formatCode="mm/dd/yyyy"/>
    <numFmt numFmtId="168" formatCode="_(* #,##0_);_(* \(#,##0\);_(* &quot;-&quot;??_);_(@_)"/>
  </numFmts>
  <fonts count="10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FFFF"/>
      <name val="Cambria"/>
      <family val="1"/>
    </font>
    <font>
      <b/>
      <sz val="16"/>
      <name val="Cambria"/>
      <family val="1"/>
    </font>
    <font>
      <sz val="11"/>
      <color rgb="FF000000"/>
      <name val="Calibri"/>
      <family val="2"/>
      <charset val="1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2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8">
    <xf numFmtId="0" fontId="0" fillId="0" borderId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  <xf numFmtId="9" fontId="6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 applyProtection="1"/>
    <xf numFmtId="0" fontId="2" fillId="0" borderId="0" xfId="0" applyFont="1" applyAlignment="1" applyProtection="1"/>
    <xf numFmtId="164" fontId="3" fillId="0" borderId="0" xfId="0" applyNumberFormat="1" applyFont="1" applyAlignment="1" applyProtection="1"/>
    <xf numFmtId="3" fontId="3" fillId="0" borderId="0" xfId="0" applyNumberFormat="1" applyFont="1" applyAlignment="1" applyProtection="1"/>
    <xf numFmtId="0" fontId="3" fillId="0" borderId="0" xfId="0" applyFont="1" applyAlignment="1" applyProtection="1"/>
    <xf numFmtId="0" fontId="4" fillId="2" borderId="0" xfId="0" applyFont="1" applyFill="1" applyAlignment="1" applyProtection="1">
      <alignment horizontal="center" vertical="center"/>
    </xf>
    <xf numFmtId="167" fontId="3" fillId="0" borderId="0" xfId="0" applyNumberFormat="1" applyFont="1" applyAlignment="1" applyProtection="1"/>
    <xf numFmtId="164" fontId="2" fillId="0" borderId="0" xfId="0" applyNumberFormat="1" applyFont="1" applyAlignment="1" applyProtection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43" fontId="0" fillId="0" borderId="0" xfId="0" applyNumberFormat="1"/>
    <xf numFmtId="168" fontId="0" fillId="0" borderId="0" xfId="0" applyNumberFormat="1"/>
    <xf numFmtId="2" fontId="0" fillId="0" borderId="0" xfId="0" applyNumberFormat="1"/>
    <xf numFmtId="0" fontId="0" fillId="0" borderId="0" xfId="0" applyFill="1"/>
    <xf numFmtId="9" fontId="0" fillId="0" borderId="0" xfId="7" applyFont="1"/>
    <xf numFmtId="0" fontId="7" fillId="3" borderId="0" xfId="0" applyFont="1" applyFill="1" applyAlignment="1">
      <alignment horizontal="left"/>
    </xf>
    <xf numFmtId="0" fontId="5" fillId="0" borderId="0" xfId="0" applyFont="1" applyBorder="1" applyAlignment="1" applyProtection="1">
      <alignment horizontal="left" vertical="center"/>
    </xf>
    <xf numFmtId="9" fontId="4" fillId="2" borderId="0" xfId="7" applyFont="1" applyFill="1" applyAlignment="1" applyProtection="1">
      <alignment horizontal="right" vertical="center"/>
    </xf>
    <xf numFmtId="0" fontId="8" fillId="0" borderId="0" xfId="0" applyFont="1" applyAlignment="1">
      <alignment horizontal="left" vertical="top"/>
    </xf>
    <xf numFmtId="0" fontId="7" fillId="0" borderId="0" xfId="0" applyFont="1" applyBorder="1" applyAlignment="1">
      <alignment vertical="top"/>
    </xf>
    <xf numFmtId="0" fontId="9" fillId="0" borderId="0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44" fontId="0" fillId="0" borderId="0" xfId="0" applyNumberFormat="1"/>
  </cellXfs>
  <cellStyles count="8">
    <cellStyle name="Normal" xfId="0" builtinId="0"/>
    <cellStyle name="Percent" xfId="7" builtinId="5"/>
    <cellStyle name="Pivot Table Category" xfId="4"/>
    <cellStyle name="Pivot Table Corner" xfId="1"/>
    <cellStyle name="Pivot Table Field" xfId="3"/>
    <cellStyle name="Pivot Table Result" xfId="6"/>
    <cellStyle name="Pivot Table Title" xfId="5"/>
    <cellStyle name="Pivot Table Value" xfId="2"/>
  </cellStyles>
  <dxfs count="23">
    <dxf>
      <numFmt numFmtId="34" formatCode="_(&quot;$&quot;* #,##0.00_);_(&quot;$&quot;* \(#,##0.00\);_(&quot;$&quot;* &quot;-&quot;??_);_(@_)"/>
    </dxf>
    <dxf>
      <numFmt numFmtId="35" formatCode="_(* #,##0.00_);_(* \(#,##0.00\);_(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8" formatCode="_(* #,##0_);_(* \(#,##0\);_(* &quot;-&quot;??_);_(@_)"/>
    </dxf>
    <dxf>
      <numFmt numFmtId="169" formatCode="_(* #,##0.0_);_(* \(#,##0.0\);_(* &quot;-&quot;??_);_(@_)"/>
    </dxf>
    <dxf>
      <numFmt numFmtId="35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" formatCode="0.00"/>
    </dxf>
    <dxf>
      <numFmt numFmtId="170" formatCode="0.000"/>
    </dxf>
    <dxf>
      <numFmt numFmtId="171" formatCode="0.0000"/>
    </dxf>
    <dxf>
      <numFmt numFmtId="172" formatCode="0.00000"/>
    </dxf>
    <dxf>
      <numFmt numFmtId="173" formatCode="0.000000"/>
    </dxf>
    <dxf>
      <numFmt numFmtId="35" formatCode="_(* #,##0.00_);_(* \(#,##0.00\);_(* &quot;-&quot;??_);_(@_)"/>
    </dxf>
    <dxf>
      <numFmt numFmtId="2" formatCode="0.00"/>
    </dxf>
    <dxf>
      <numFmt numFmtId="174" formatCode="0.0"/>
    </dxf>
    <dxf>
      <numFmt numFmtId="1" formatCode="0"/>
    </dxf>
    <dxf>
      <numFmt numFmtId="174" formatCode="0.0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[Combined_AP_Report.xlsx]Entity Aging!EntityAgingPivot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'Entity Aging'!$C$4:$C$5</c:f>
              <c:strCache>
                <c:ptCount val="1"/>
                <c:pt idx="0">
                  <c:v>Sum of Open 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'Entity Aging'!$A$6:$B$28</c:f>
              <c:multiLvlStrCache>
                <c:ptCount val="17"/>
                <c:lvl>
                  <c:pt idx="0">
                    <c:v>1-30 days</c:v>
                  </c:pt>
                  <c:pt idx="1">
                    <c:v>31-60 days</c:v>
                  </c:pt>
                  <c:pt idx="2">
                    <c:v>61-90 days</c:v>
                  </c:pt>
                  <c:pt idx="3">
                    <c:v>91+ days</c:v>
                  </c:pt>
                  <c:pt idx="4">
                    <c:v>1-30 days</c:v>
                  </c:pt>
                  <c:pt idx="5">
                    <c:v>31-60 days</c:v>
                  </c:pt>
                  <c:pt idx="6">
                    <c:v>61-90 days</c:v>
                  </c:pt>
                  <c:pt idx="7">
                    <c:v>91+ days</c:v>
                  </c:pt>
                  <c:pt idx="8">
                    <c:v>61-90 days</c:v>
                  </c:pt>
                  <c:pt idx="9">
                    <c:v>91+ days</c:v>
                  </c:pt>
                  <c:pt idx="10">
                    <c:v>61-90 days</c:v>
                  </c:pt>
                  <c:pt idx="11">
                    <c:v>91+ days</c:v>
                  </c:pt>
                  <c:pt idx="12">
                    <c:v>1-30 days</c:v>
                  </c:pt>
                  <c:pt idx="13">
                    <c:v>31-60 days</c:v>
                  </c:pt>
                  <c:pt idx="14">
                    <c:v>61-90 days</c:v>
                  </c:pt>
                  <c:pt idx="15">
                    <c:v>91+ days</c:v>
                  </c:pt>
                  <c:pt idx="16">
                    <c:v>Current</c:v>
                  </c:pt>
                </c:lvl>
                <c:lvl>
                  <c:pt idx="0">
                    <c:v>Travolta Engineers &amp; Builders LLC</c:v>
                  </c:pt>
                  <c:pt idx="4">
                    <c:v>Travolta Homes LLC</c:v>
                  </c:pt>
                  <c:pt idx="8">
                    <c:v>Travolta Investment LLC</c:v>
                  </c:pt>
                  <c:pt idx="10">
                    <c:v>Travolta Marine LLC</c:v>
                  </c:pt>
                  <c:pt idx="12">
                    <c:v>TRAVOLTA MV LLC</c:v>
                  </c:pt>
                </c:lvl>
              </c:multiLvlStrCache>
            </c:multiLvlStrRef>
          </c:cat>
          <c:val>
            <c:numRef>
              <c:f>'Entity Aging'!$C$6:$C$28</c:f>
              <c:numCache>
                <c:formatCode>\$#,##0.00</c:formatCode>
                <c:ptCount val="17"/>
                <c:pt idx="0">
                  <c:v>6302.41</c:v>
                </c:pt>
                <c:pt idx="1">
                  <c:v>6118.84</c:v>
                </c:pt>
                <c:pt idx="2">
                  <c:v>6118.84</c:v>
                </c:pt>
                <c:pt idx="3">
                  <c:v>56544.999999999985</c:v>
                </c:pt>
                <c:pt idx="4">
                  <c:v>500</c:v>
                </c:pt>
                <c:pt idx="5">
                  <c:v>20521.399999999998</c:v>
                </c:pt>
                <c:pt idx="6">
                  <c:v>25926.35</c:v>
                </c:pt>
                <c:pt idx="7">
                  <c:v>598138.63000000024</c:v>
                </c:pt>
                <c:pt idx="8">
                  <c:v>250</c:v>
                </c:pt>
                <c:pt idx="9">
                  <c:v>47901.78</c:v>
                </c:pt>
                <c:pt idx="10">
                  <c:v>607872.01</c:v>
                </c:pt>
                <c:pt idx="11">
                  <c:v>159443.12000000002</c:v>
                </c:pt>
                <c:pt idx="12">
                  <c:v>1861.25</c:v>
                </c:pt>
                <c:pt idx="13">
                  <c:v>14276.93</c:v>
                </c:pt>
                <c:pt idx="14">
                  <c:v>-425.65999999999985</c:v>
                </c:pt>
                <c:pt idx="15">
                  <c:v>1003266.4200000004</c:v>
                </c:pt>
                <c:pt idx="16">
                  <c:v>-15089.4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4-4364-8CCE-3AD82F8F1D3E}"/>
            </c:ext>
          </c:extLst>
        </c:ser>
        <c:ser>
          <c:idx val="1"/>
          <c:order val="1"/>
          <c:tx>
            <c:strRef>
              <c:f>'Entity Aging'!$D$4:$D$5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multiLvlStrRef>
              <c:f>'Entity Aging'!$A$6:$B$28</c:f>
              <c:multiLvlStrCache>
                <c:ptCount val="17"/>
                <c:lvl>
                  <c:pt idx="0">
                    <c:v>1-30 days</c:v>
                  </c:pt>
                  <c:pt idx="1">
                    <c:v>31-60 days</c:v>
                  </c:pt>
                  <c:pt idx="2">
                    <c:v>61-90 days</c:v>
                  </c:pt>
                  <c:pt idx="3">
                    <c:v>91+ days</c:v>
                  </c:pt>
                  <c:pt idx="4">
                    <c:v>1-30 days</c:v>
                  </c:pt>
                  <c:pt idx="5">
                    <c:v>31-60 days</c:v>
                  </c:pt>
                  <c:pt idx="6">
                    <c:v>61-90 days</c:v>
                  </c:pt>
                  <c:pt idx="7">
                    <c:v>91+ days</c:v>
                  </c:pt>
                  <c:pt idx="8">
                    <c:v>61-90 days</c:v>
                  </c:pt>
                  <c:pt idx="9">
                    <c:v>91+ days</c:v>
                  </c:pt>
                  <c:pt idx="10">
                    <c:v>61-90 days</c:v>
                  </c:pt>
                  <c:pt idx="11">
                    <c:v>91+ days</c:v>
                  </c:pt>
                  <c:pt idx="12">
                    <c:v>1-30 days</c:v>
                  </c:pt>
                  <c:pt idx="13">
                    <c:v>31-60 days</c:v>
                  </c:pt>
                  <c:pt idx="14">
                    <c:v>61-90 days</c:v>
                  </c:pt>
                  <c:pt idx="15">
                    <c:v>91+ days</c:v>
                  </c:pt>
                  <c:pt idx="16">
                    <c:v>Current</c:v>
                  </c:pt>
                </c:lvl>
                <c:lvl>
                  <c:pt idx="0">
                    <c:v>Travolta Engineers &amp; Builders LLC</c:v>
                  </c:pt>
                  <c:pt idx="4">
                    <c:v>Travolta Homes LLC</c:v>
                  </c:pt>
                  <c:pt idx="8">
                    <c:v>Travolta Investment LLC</c:v>
                  </c:pt>
                  <c:pt idx="10">
                    <c:v>Travolta Marine LLC</c:v>
                  </c:pt>
                  <c:pt idx="12">
                    <c:v>TRAVOLTA MV LLC</c:v>
                  </c:pt>
                </c:lvl>
              </c:multiLvlStrCache>
            </c:multiLvlStrRef>
          </c:cat>
          <c:val>
            <c:numRef>
              <c:f>'Entity Aging'!$D$6:$D$28</c:f>
              <c:numCache>
                <c:formatCode>\$#,##0.00</c:formatCode>
                <c:ptCount val="17"/>
                <c:pt idx="0">
                  <c:v>6302.41</c:v>
                </c:pt>
                <c:pt idx="1">
                  <c:v>6118.84</c:v>
                </c:pt>
                <c:pt idx="2">
                  <c:v>6118.84</c:v>
                </c:pt>
                <c:pt idx="3">
                  <c:v>56544.999999999985</c:v>
                </c:pt>
                <c:pt idx="4">
                  <c:v>500</c:v>
                </c:pt>
                <c:pt idx="5">
                  <c:v>20521.399999999998</c:v>
                </c:pt>
                <c:pt idx="6">
                  <c:v>25926.35</c:v>
                </c:pt>
                <c:pt idx="7">
                  <c:v>635358.62000000023</c:v>
                </c:pt>
                <c:pt idx="8">
                  <c:v>250</c:v>
                </c:pt>
                <c:pt idx="9">
                  <c:v>47901.78</c:v>
                </c:pt>
                <c:pt idx="10">
                  <c:v>607872.01</c:v>
                </c:pt>
                <c:pt idx="11">
                  <c:v>159443.12000000002</c:v>
                </c:pt>
                <c:pt idx="12">
                  <c:v>1861.25</c:v>
                </c:pt>
                <c:pt idx="13">
                  <c:v>14276.93</c:v>
                </c:pt>
                <c:pt idx="14">
                  <c:v>-425.65999999999985</c:v>
                </c:pt>
                <c:pt idx="15">
                  <c:v>1005693.6200000003</c:v>
                </c:pt>
                <c:pt idx="16">
                  <c:v>-15089.4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24-4364-8CCE-3AD82F8F1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197288"/>
        <c:axId val="227198600"/>
      </c:barChart>
      <c:catAx>
        <c:axId val="227197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198600"/>
        <c:crossesAt val="0"/>
        <c:auto val="1"/>
        <c:lblAlgn val="ctr"/>
        <c:lblOffset val="100"/>
        <c:noMultiLvlLbl val="0"/>
      </c:catAx>
      <c:valAx>
        <c:axId val="22719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197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[Combined_AP_Report.xlsx]Top Vendors!TopVendorsPivot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5875">
            <a:solidFill>
              <a:schemeClr val="accent1">
                <a:lumMod val="75000"/>
              </a:schemeClr>
            </a:solidFill>
          </a:ln>
          <a:effectLst/>
        </c:spPr>
      </c:pivotFmt>
      <c:pivotFmt>
        <c:idx val="65"/>
        <c:spPr>
          <a:solidFill>
            <a:schemeClr val="tx1"/>
          </a:solidFill>
          <a:ln w="15875">
            <a:solidFill>
              <a:sysClr val="windowText" lastClr="000000"/>
            </a:solidFill>
          </a:ln>
          <a:effectLst/>
        </c:spPr>
      </c:pivotFmt>
      <c:pivotFmt>
        <c:idx val="66"/>
        <c:spPr>
          <a:solidFill>
            <a:schemeClr val="tx1"/>
          </a:solidFill>
          <a:ln w="15875">
            <a:solidFill>
              <a:sysClr val="windowText" lastClr="000000"/>
            </a:solidFill>
          </a:ln>
          <a:effectLst/>
        </c:spPr>
      </c:pivotFmt>
      <c:pivotFmt>
        <c:idx val="67"/>
        <c:spPr>
          <a:solidFill>
            <a:schemeClr val="tx1"/>
          </a:solidFill>
          <a:ln w="15875">
            <a:solidFill>
              <a:sysClr val="windowText" lastClr="000000"/>
            </a:solidFill>
          </a:ln>
          <a:effectLst/>
        </c:spPr>
      </c:pivotFmt>
      <c:pivotFmt>
        <c:idx val="68"/>
        <c:spPr>
          <a:solidFill>
            <a:schemeClr val="tx1"/>
          </a:solidFill>
          <a:ln w="15875">
            <a:solidFill>
              <a:sysClr val="windowText" lastClr="000000"/>
            </a:solidFill>
          </a:ln>
          <a:effectLst/>
        </c:spPr>
      </c:pivotFmt>
      <c:pivotFmt>
        <c:idx val="69"/>
        <c:spPr>
          <a:solidFill>
            <a:schemeClr val="tx1"/>
          </a:solidFill>
          <a:ln w="15875">
            <a:solidFill>
              <a:sysClr val="windowText" lastClr="000000"/>
            </a:solidFill>
          </a:ln>
          <a:effectLst/>
        </c:spPr>
      </c:pivotFmt>
      <c:pivotFmt>
        <c:idx val="70"/>
        <c:spPr>
          <a:solidFill>
            <a:schemeClr val="tx1"/>
          </a:solidFill>
          <a:ln w="15875">
            <a:solidFill>
              <a:sysClr val="windowText" lastClr="000000"/>
            </a:solidFill>
          </a:ln>
          <a:effectLst/>
        </c:spPr>
      </c:pivotFmt>
      <c:pivotFmt>
        <c:idx val="71"/>
        <c:spPr>
          <a:solidFill>
            <a:schemeClr val="tx1"/>
          </a:solidFill>
          <a:ln w="15875">
            <a:solidFill>
              <a:sysClr val="windowText" lastClr="000000"/>
            </a:solidFill>
          </a:ln>
          <a:effectLst/>
        </c:spPr>
      </c:pivotFmt>
      <c:pivotFmt>
        <c:idx val="72"/>
        <c:spPr>
          <a:solidFill>
            <a:schemeClr val="tx1"/>
          </a:solidFill>
          <a:ln w="15875">
            <a:solidFill>
              <a:sysClr val="windowText" lastClr="000000"/>
            </a:solidFill>
          </a:ln>
          <a:effectLst/>
        </c:spPr>
      </c:pivotFmt>
      <c:pivotFmt>
        <c:idx val="73"/>
        <c:spPr>
          <a:solidFill>
            <a:schemeClr val="tx1"/>
          </a:solidFill>
          <a:ln w="15875">
            <a:solidFill>
              <a:sysClr val="windowText" lastClr="000000"/>
            </a:solidFill>
          </a:ln>
          <a:effectLst/>
        </c:spPr>
      </c:pivotFmt>
      <c:pivotFmt>
        <c:idx val="74"/>
        <c:spPr>
          <a:solidFill>
            <a:schemeClr val="tx1"/>
          </a:solidFill>
          <a:ln w="15875">
            <a:solidFill>
              <a:sysClr val="windowText" lastClr="000000"/>
            </a:solidFill>
          </a:ln>
          <a:effectLst/>
        </c:spPr>
      </c:pivotFmt>
      <c:pivotFmt>
        <c:idx val="75"/>
        <c:spPr>
          <a:solidFill>
            <a:schemeClr val="tx1"/>
          </a:solidFill>
          <a:ln w="15875">
            <a:solidFill>
              <a:sysClr val="windowText" lastClr="000000"/>
            </a:solidFill>
          </a:ln>
          <a:effectLst/>
        </c:spPr>
      </c:pivotFmt>
      <c:pivotFmt>
        <c:idx val="76"/>
        <c:spPr>
          <a:solidFill>
            <a:schemeClr val="tx1"/>
          </a:solidFill>
          <a:ln w="15875">
            <a:solidFill>
              <a:sysClr val="windowText" lastClr="000000"/>
            </a:solidFill>
          </a:ln>
          <a:effectLst/>
        </c:spPr>
      </c:pivotFmt>
      <c:pivotFmt>
        <c:idx val="77"/>
        <c:spPr>
          <a:solidFill>
            <a:schemeClr val="tx1"/>
          </a:solidFill>
          <a:ln w="15875">
            <a:solidFill>
              <a:sysClr val="windowText" lastClr="000000"/>
            </a:solidFill>
          </a:ln>
          <a:effectLst/>
        </c:spPr>
      </c:pivotFmt>
      <c:pivotFmt>
        <c:idx val="78"/>
        <c:spPr>
          <a:solidFill>
            <a:schemeClr val="tx1"/>
          </a:solidFill>
          <a:ln w="15875">
            <a:solidFill>
              <a:sysClr val="windowText" lastClr="000000"/>
            </a:solidFill>
          </a:ln>
          <a:effectLst/>
        </c:spPr>
      </c:pivotFmt>
      <c:pivotFmt>
        <c:idx val="79"/>
        <c:spPr>
          <a:solidFill>
            <a:schemeClr val="tx1"/>
          </a:solidFill>
          <a:ln w="15875">
            <a:solidFill>
              <a:sysClr val="windowText" lastClr="000000"/>
            </a:solidFill>
          </a:ln>
          <a:effectLst/>
        </c:spPr>
      </c:pivotFmt>
      <c:pivotFmt>
        <c:idx val="80"/>
        <c:spPr>
          <a:solidFill>
            <a:schemeClr val="tx1"/>
          </a:solidFill>
          <a:ln w="15875">
            <a:solidFill>
              <a:sysClr val="windowText" lastClr="000000"/>
            </a:solidFill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'Top Vendors'!$B$5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 w="15875">
              <a:solidFill>
                <a:sysClr val="windowText" lastClr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D3-4997-92BD-C81B5AAA3119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D3-4997-92BD-C81B5AAA3119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D3-4997-92BD-C81B5AAA3119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D3-4997-92BD-C81B5AAA3119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AD3-4997-92BD-C81B5AAA3119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AD3-4997-92BD-C81B5AAA3119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AD3-4997-92BD-C81B5AAA3119}"/>
              </c:ext>
            </c:extLst>
          </c:dPt>
          <c:dPt>
            <c:idx val="7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AD3-4997-92BD-C81B5AAA3119}"/>
              </c:ext>
            </c:extLst>
          </c:dPt>
          <c:dPt>
            <c:idx val="8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AD3-4997-92BD-C81B5AAA3119}"/>
              </c:ext>
            </c:extLst>
          </c:dPt>
          <c:dPt>
            <c:idx val="9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AD3-4997-92BD-C81B5AAA3119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AD3-4997-92BD-C81B5AAA3119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AD3-4997-92BD-C81B5AAA3119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AD3-4997-92BD-C81B5AAA3119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AD3-4997-92BD-C81B5AAA3119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AD3-4997-92BD-C81B5AAA3119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AD3-4997-92BD-C81B5AAA3119}"/>
              </c:ext>
            </c:extLst>
          </c:dPt>
          <c:dPt>
            <c:idx val="16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AD3-4997-92BD-C81B5AAA3119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AD3-4997-92BD-C81B5AAA3119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AD3-4997-92BD-C81B5AAA3119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AD3-4997-92BD-C81B5AAA3119}"/>
              </c:ext>
            </c:extLst>
          </c:dPt>
          <c:dPt>
            <c:idx val="20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AD3-4997-92BD-C81B5AAA3119}"/>
              </c:ext>
            </c:extLst>
          </c:dPt>
          <c:dPt>
            <c:idx val="21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AD3-4997-92BD-C81B5AAA3119}"/>
              </c:ext>
            </c:extLst>
          </c:dPt>
          <c:dPt>
            <c:idx val="22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AD3-4997-92BD-C81B5AAA3119}"/>
              </c:ext>
            </c:extLst>
          </c:dPt>
          <c:dPt>
            <c:idx val="23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AD3-4997-92BD-C81B5AAA3119}"/>
              </c:ext>
            </c:extLst>
          </c:dPt>
          <c:dPt>
            <c:idx val="24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EAD3-4997-92BD-C81B5AAA3119}"/>
              </c:ext>
            </c:extLst>
          </c:dPt>
          <c:dPt>
            <c:idx val="25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EAD3-4997-92BD-C81B5AAA3119}"/>
              </c:ext>
            </c:extLst>
          </c:dPt>
          <c:dPt>
            <c:idx val="26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EAD3-4997-92BD-C81B5AAA3119}"/>
              </c:ext>
            </c:extLst>
          </c:dPt>
          <c:dPt>
            <c:idx val="27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EAD3-4997-92BD-C81B5AAA3119}"/>
              </c:ext>
            </c:extLst>
          </c:dPt>
          <c:dPt>
            <c:idx val="28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EAD3-4997-92BD-C81B5AAA3119}"/>
              </c:ext>
            </c:extLst>
          </c:dPt>
          <c:dPt>
            <c:idx val="29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EAD3-4997-92BD-C81B5AAA3119}"/>
              </c:ext>
            </c:extLst>
          </c:dPt>
          <c:dPt>
            <c:idx val="30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EAD3-4997-92BD-C81B5AAA3119}"/>
              </c:ext>
            </c:extLst>
          </c:dPt>
          <c:dPt>
            <c:idx val="31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EAD3-4997-92BD-C81B5AAA3119}"/>
              </c:ext>
            </c:extLst>
          </c:dPt>
          <c:dPt>
            <c:idx val="32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EAD3-4997-92BD-C81B5AAA3119}"/>
              </c:ext>
            </c:extLst>
          </c:dPt>
          <c:dPt>
            <c:idx val="33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EAD3-4997-92BD-C81B5AAA3119}"/>
              </c:ext>
            </c:extLst>
          </c:dPt>
          <c:dPt>
            <c:idx val="34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EAD3-4997-92BD-C81B5AAA3119}"/>
              </c:ext>
            </c:extLst>
          </c:dPt>
          <c:dPt>
            <c:idx val="35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EAD3-4997-92BD-C81B5AAA3119}"/>
              </c:ext>
            </c:extLst>
          </c:dPt>
          <c:dPt>
            <c:idx val="36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EAD3-4997-92BD-C81B5AAA3119}"/>
              </c:ext>
            </c:extLst>
          </c:dPt>
          <c:dPt>
            <c:idx val="37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EAD3-4997-92BD-C81B5AAA3119}"/>
              </c:ext>
            </c:extLst>
          </c:dPt>
          <c:dPt>
            <c:idx val="38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EAD3-4997-92BD-C81B5AAA3119}"/>
              </c:ext>
            </c:extLst>
          </c:dPt>
          <c:dPt>
            <c:idx val="39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EAD3-4997-92BD-C81B5AAA3119}"/>
              </c:ext>
            </c:extLst>
          </c:dPt>
          <c:dPt>
            <c:idx val="40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EAD3-4997-92BD-C81B5AAA3119}"/>
              </c:ext>
            </c:extLst>
          </c:dPt>
          <c:dPt>
            <c:idx val="41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EAD3-4997-92BD-C81B5AAA3119}"/>
              </c:ext>
            </c:extLst>
          </c:dPt>
          <c:dPt>
            <c:idx val="42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EAD3-4997-92BD-C81B5AAA3119}"/>
              </c:ext>
            </c:extLst>
          </c:dPt>
          <c:dPt>
            <c:idx val="43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EAD3-4997-92BD-C81B5AAA3119}"/>
              </c:ext>
            </c:extLst>
          </c:dPt>
          <c:dPt>
            <c:idx val="44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EAD3-4997-92BD-C81B5AAA3119}"/>
              </c:ext>
            </c:extLst>
          </c:dPt>
          <c:dPt>
            <c:idx val="45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EAD3-4997-92BD-C81B5AAA3119}"/>
              </c:ext>
            </c:extLst>
          </c:dPt>
          <c:dPt>
            <c:idx val="46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EAD3-4997-92BD-C81B5AAA3119}"/>
              </c:ext>
            </c:extLst>
          </c:dPt>
          <c:dPt>
            <c:idx val="47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EAD3-4997-92BD-C81B5AAA3119}"/>
              </c:ext>
            </c:extLst>
          </c:dPt>
          <c:dPt>
            <c:idx val="48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EAD3-4997-92BD-C81B5AAA3119}"/>
              </c:ext>
            </c:extLst>
          </c:dPt>
          <c:dPt>
            <c:idx val="49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EAD3-4997-92BD-C81B5AAA3119}"/>
              </c:ext>
            </c:extLst>
          </c:dPt>
          <c:dPt>
            <c:idx val="50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EAD3-4997-92BD-C81B5AAA3119}"/>
              </c:ext>
            </c:extLst>
          </c:dPt>
          <c:dPt>
            <c:idx val="51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EAD3-4997-92BD-C81B5AAA3119}"/>
              </c:ext>
            </c:extLst>
          </c:dPt>
          <c:dPt>
            <c:idx val="52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EAD3-4997-92BD-C81B5AAA3119}"/>
              </c:ext>
            </c:extLst>
          </c:dPt>
          <c:dPt>
            <c:idx val="53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EAD3-4997-92BD-C81B5AAA3119}"/>
              </c:ext>
            </c:extLst>
          </c:dPt>
          <c:dPt>
            <c:idx val="54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EAD3-4997-92BD-C81B5AAA3119}"/>
              </c:ext>
            </c:extLst>
          </c:dPt>
          <c:dPt>
            <c:idx val="55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EAD3-4997-92BD-C81B5AAA3119}"/>
              </c:ext>
            </c:extLst>
          </c:dPt>
          <c:dPt>
            <c:idx val="56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EAD3-4997-92BD-C81B5AAA3119}"/>
              </c:ext>
            </c:extLst>
          </c:dPt>
          <c:dPt>
            <c:idx val="57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EAD3-4997-92BD-C81B5AAA3119}"/>
              </c:ext>
            </c:extLst>
          </c:dPt>
          <c:dPt>
            <c:idx val="58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EAD3-4997-92BD-C81B5AAA3119}"/>
              </c:ext>
            </c:extLst>
          </c:dPt>
          <c:dPt>
            <c:idx val="59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EAD3-4997-92BD-C81B5AAA3119}"/>
              </c:ext>
            </c:extLst>
          </c:dPt>
          <c:dPt>
            <c:idx val="60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EAD3-4997-92BD-C81B5AAA3119}"/>
              </c:ext>
            </c:extLst>
          </c:dPt>
          <c:dPt>
            <c:idx val="61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EAD3-4997-92BD-C81B5AAA3119}"/>
              </c:ext>
            </c:extLst>
          </c:dPt>
          <c:dPt>
            <c:idx val="62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EAD3-4997-92BD-C81B5AAA3119}"/>
              </c:ext>
            </c:extLst>
          </c:dPt>
          <c:dPt>
            <c:idx val="63"/>
            <c:invertIfNegative val="0"/>
            <c:bubble3D val="0"/>
            <c:spPr>
              <a:solidFill>
                <a:schemeClr val="tx1"/>
              </a:solidFill>
              <a:ln w="15875"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EAD3-4997-92BD-C81B5AAA3119}"/>
              </c:ext>
            </c:extLst>
          </c:dPt>
          <c:cat>
            <c:strRef>
              <c:f>'Top Vendors'!$A$6:$A$21</c:f>
              <c:strCache>
                <c:ptCount val="15"/>
                <c:pt idx="0">
                  <c:v>Aspen Engineers &amp; Builders LLC</c:v>
                </c:pt>
                <c:pt idx="1">
                  <c:v>Aspen Enginners &amp; Builders LLC</c:v>
                </c:pt>
                <c:pt idx="2">
                  <c:v>Davis Consulting Engineers, PLLC</c:v>
                </c:pt>
                <c:pt idx="3">
                  <c:v>Engineers and Builders A/p</c:v>
                </c:pt>
                <c:pt idx="4">
                  <c:v>Geoscience Engineers, LLC</c:v>
                </c:pt>
                <c:pt idx="5">
                  <c:v>Glenn Thurman Inc</c:v>
                </c:pt>
                <c:pt idx="6">
                  <c:v>Hyphen Solution</c:v>
                </c:pt>
                <c:pt idx="7">
                  <c:v>JDJR ENGINEERS &amp; CONSULTANTS, INC</c:v>
                </c:pt>
                <c:pt idx="8">
                  <c:v>L&amp;S Mechanical - HVAC</c:v>
                </c:pt>
                <c:pt idx="9">
                  <c:v>L&amp;S Mechanical - Plumbing</c:v>
                </c:pt>
                <c:pt idx="10">
                  <c:v>Oldham Lumber Company</c:v>
                </c:pt>
                <c:pt idx="11">
                  <c:v>SYB CONSTRUCTION COMPANY,INC</c:v>
                </c:pt>
                <c:pt idx="12">
                  <c:v>Texas Select Erosion</c:v>
                </c:pt>
                <c:pt idx="13">
                  <c:v>WILLSCOT</c:v>
                </c:pt>
                <c:pt idx="14">
                  <c:v>WISENBAKER BUILDER SERVICES,INC.</c:v>
                </c:pt>
              </c:strCache>
            </c:strRef>
          </c:cat>
          <c:val>
            <c:numRef>
              <c:f>'Top Vendors'!$B$6:$B$21</c:f>
              <c:numCache>
                <c:formatCode>\$#,##0.00</c:formatCode>
                <c:ptCount val="15"/>
                <c:pt idx="0">
                  <c:v>77179.850000000006</c:v>
                </c:pt>
                <c:pt idx="1">
                  <c:v>617438.82999999996</c:v>
                </c:pt>
                <c:pt idx="2">
                  <c:v>31151.949999999997</c:v>
                </c:pt>
                <c:pt idx="3">
                  <c:v>77179.850000000006</c:v>
                </c:pt>
                <c:pt idx="4">
                  <c:v>35164.75</c:v>
                </c:pt>
                <c:pt idx="5">
                  <c:v>515291.08</c:v>
                </c:pt>
                <c:pt idx="6">
                  <c:v>70774.089999999982</c:v>
                </c:pt>
                <c:pt idx="7">
                  <c:v>93154.87999999999</c:v>
                </c:pt>
                <c:pt idx="8">
                  <c:v>63592.600000000006</c:v>
                </c:pt>
                <c:pt idx="9">
                  <c:v>66286.600000000006</c:v>
                </c:pt>
                <c:pt idx="10">
                  <c:v>316216.70999999996</c:v>
                </c:pt>
                <c:pt idx="11">
                  <c:v>92635.939999999988</c:v>
                </c:pt>
                <c:pt idx="12">
                  <c:v>30296</c:v>
                </c:pt>
                <c:pt idx="13">
                  <c:v>30760.68</c:v>
                </c:pt>
                <c:pt idx="14">
                  <c:v>83111.459999999963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9-451B-AE55-4AFAF7A05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39"/>
        <c:axId val="487517056"/>
        <c:axId val="487517384"/>
      </c:barChart>
      <c:catAx>
        <c:axId val="48751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517384"/>
        <c:crosses val="autoZero"/>
        <c:auto val="1"/>
        <c:lblAlgn val="ctr"/>
        <c:lblOffset val="100"/>
        <c:noMultiLvlLbl val="0"/>
      </c:catAx>
      <c:valAx>
        <c:axId val="48751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51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3</xdr:row>
      <xdr:rowOff>15240</xdr:rowOff>
    </xdr:from>
    <xdr:to>
      <xdr:col>13</xdr:col>
      <xdr:colOff>411480</xdr:colOff>
      <xdr:row>22</xdr:row>
      <xdr:rowOff>175260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4</xdr:row>
      <xdr:rowOff>0</xdr:rowOff>
    </xdr:from>
    <xdr:to>
      <xdr:col>13</xdr:col>
      <xdr:colOff>68580</xdr:colOff>
      <xdr:row>20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usrat8496@gmail.com" refreshedDate="46177.744012731484" createdVersion="6" refreshedVersion="6" minRefreshableVersion="3" recordCount="461">
  <cacheSource type="worksheet">
    <worksheetSource ref="A2:K463" sheet="Combined AP Data"/>
  </cacheSource>
  <cacheFields count="11">
    <cacheField name="Company" numFmtId="0">
      <sharedItems count="5">
        <s v="Travolta Engineers &amp; Builders LLC"/>
        <s v="Travolta Homes LLC"/>
        <s v="Travolta Investment LLC"/>
        <s v="Travolta Marine LLC"/>
        <s v="TRAVOLTA MV LLC"/>
      </sharedItems>
    </cacheField>
    <cacheField name="Date" numFmtId="167">
      <sharedItems containsSemiMixedTypes="0" containsNonDate="0" containsDate="1" containsString="0" minDate="2021-06-30T00:00:00" maxDate="2023-07-15T00:00:00"/>
    </cacheField>
    <cacheField name="Transaction Type" numFmtId="0">
      <sharedItems/>
    </cacheField>
    <cacheField name="Num" numFmtId="0">
      <sharedItems containsMixedTypes="1" containsNumber="1" containsInteger="1" minValue="466" maxValue="89680294"/>
    </cacheField>
    <cacheField name="Vendor" numFmtId="0">
      <sharedItems count="64">
        <s v="Stormcon LLC"/>
        <s v="BAKER CLEARVIEW OPERATING, LLC"/>
        <s v="The ROBINSON Law Firm"/>
        <s v="Hyphen Solution"/>
        <s v="Alliance Geotechnical Group Inc"/>
        <s v="Geoscience Engineers, LLC"/>
        <s v="Pipeline Land Service Inc"/>
        <s v="Trinity Green Services, LLC"/>
        <s v="JDJR ENGINEERS &amp; CONSULTANTS, INC"/>
        <s v="Roome Land Surveying"/>
        <s v="Oldham Lumber Company"/>
        <s v="SYB CONSTRUCTION COMPANY,INC"/>
        <s v="INDIA ASSOCIATION OF NORTH TEXAS"/>
        <s v="Michael Page International Inc"/>
        <s v="Potter Concrete Residential Ltd"/>
        <s v="Childress Engineering Services, Inc"/>
        <s v="Irving Texas"/>
        <s v="L&amp;S Mechanical - HVAC"/>
        <s v="Millen Oil Company"/>
        <s v="ProStar Services Inc DBA Parks Coffee"/>
        <s v="Texas Select Erosion"/>
        <s v="AlphaGraphics"/>
        <s v="B.G. Grading LLC"/>
        <s v="E NUE DESIGN"/>
        <s v="Engineers and Builders A/p"/>
        <s v="Bush Rudnicki Shelton PC"/>
        <s v="WILLSCOT"/>
        <s v="SPIARS ENGINEERING &amp; SURVEYING"/>
        <s v="Oralio Gelaso"/>
        <s v="Quench USA, Inc"/>
        <s v="Miller Services, Inc."/>
        <s v="ECI"/>
        <s v="CMAC Roofing LLC"/>
        <s v="Davis Consulting Engineers, PLLC"/>
        <s v="Advanced Nameplates, Inc"/>
        <s v="Virtual Protective"/>
        <s v="Complete LandSculpture"/>
        <s v="Bri-Cor Contractors Inc"/>
        <s v="EAGLE SURVEYING"/>
        <s v="North Collin Special Utility District"/>
        <s v="ADR Designs LLC"/>
        <s v="Aspen Engineers &amp; Builders LLC"/>
        <s v="Glenn Thurman Inc"/>
        <s v="Aubrey Brick &amp; ClayStone Co."/>
        <s v="Burgess Construction Consultants Inc"/>
        <s v="AME Trash Removal"/>
        <s v="Alliance Materials, Inc."/>
        <s v="L&amp;S Mechanical - Plumbing"/>
        <s v="WISENBAKER BUILDER SERVICES,INC."/>
        <s v="Masterplan"/>
        <s v="ACME Brick"/>
        <s v="L&amp;S Mechanical - Electric"/>
        <s v="HomeTeam Pest Defense Inc"/>
        <s v="Fireside Hearth &amp; Home"/>
        <s v="BG Grading LLC"/>
        <s v="Fashion Glass &amp; Mirror"/>
        <s v="FCC Environmental Service TX"/>
        <s v="Aspen Enginners &amp; Builders LLC"/>
        <s v="Bullseye Balloon Promotions Inc."/>
        <s v="Williams Insulation"/>
        <s v="Aurora Painting LLC"/>
        <s v="Wonder Brothers"/>
        <s v="PREMIER Waste Services, LLC"/>
        <s v="MNV CONSTRUCTION AND REMODELING LLC"/>
      </sharedItems>
    </cacheField>
    <cacheField name="Due Date" numFmtId="167">
      <sharedItems containsNonDate="0" containsDate="1" containsString="0" containsBlank="1" minDate="2021-07-10T00:00:00" maxDate="2023-07-31T00:00:00"/>
    </cacheField>
    <cacheField name="Past Due" numFmtId="3">
      <sharedItems containsSemiMixedTypes="0" containsString="0" containsNumber="1" containsInteger="1" minValue="-8" maxValue="742"/>
    </cacheField>
    <cacheField name="Aging Bucket" numFmtId="0">
      <sharedItems count="5">
        <s v="91+ days"/>
        <s v="61-90 days"/>
        <s v="31-60 days"/>
        <s v="1-30 days"/>
        <s v="Current"/>
      </sharedItems>
    </cacheField>
    <cacheField name="Amount" numFmtId="164">
      <sharedItems containsSemiMixedTypes="0" containsString="0" containsNumber="1" minValue="-15276.24" maxValue="617438.82999999996"/>
    </cacheField>
    <cacheField name="Open Balance" numFmtId="164">
      <sharedItems containsSemiMixedTypes="0" containsString="0" containsNumber="1" minValue="-15276.24" maxValue="617438.82999999996" count="259">
        <n v="1000"/>
        <n v="300"/>
        <n v="1411"/>
        <n v="10723.96"/>
        <n v="1599"/>
        <n v="533"/>
        <n v="6118.84"/>
        <n v="932.75"/>
        <n v="799.5"/>
        <n v="6302.41"/>
        <n v="2172"/>
        <n v="2381.5"/>
        <n v="414"/>
        <n v="6668"/>
        <n v="1662.75"/>
        <n v="2760.38"/>
        <n v="5666"/>
        <n v="700"/>
        <n v="4240"/>
        <n v="280"/>
        <n v="4250"/>
        <n v="5959.5"/>
        <n v="450"/>
        <n v="53611.56"/>
        <n v="42166.11"/>
        <n v="38578.480000000003"/>
        <n v="15873.78"/>
        <n v="55"/>
        <n v="3500"/>
        <n v="583"/>
        <n v="57210.13"/>
        <n v="1125"/>
        <n v="9118.98"/>
        <n v="12825"/>
        <n v="276.25"/>
        <n v="52990.54"/>
        <n v="4222.57"/>
        <n v="6106.85"/>
        <n v="500"/>
        <n v="9327.7999999999993"/>
        <n v="2133.8200000000002"/>
        <n v="350"/>
        <n v="25330.5"/>
        <n v="667.54"/>
        <n v="1575"/>
        <n v="9856.7999999999993"/>
        <n v="4420.3999999999996"/>
        <n v="8656"/>
        <n v="6017"/>
        <n v="75"/>
        <n v="125"/>
        <n v="147.44"/>
        <n v="1551.25"/>
        <n v="422.66"/>
        <n v="3750"/>
        <n v="162.38"/>
        <n v="3675.51"/>
        <n v="11435"/>
        <n v="150"/>
        <n v="4252.8100000000004"/>
        <n v="632.17999999999995"/>
        <n v="363.45"/>
        <n v="1300"/>
        <n v="1070"/>
        <n v="37.83"/>
        <n v="2463"/>
        <n v="119.01"/>
        <n v="5449"/>
        <n v="96.13"/>
        <n v="45.64"/>
        <n v="789.5"/>
        <n v="2744"/>
        <n v="162.99"/>
        <n v="400"/>
        <n v="200"/>
        <n v="172.12"/>
        <n v="141.4"/>
        <n v="13.53"/>
        <n v="77179.850000000006"/>
        <n v="2360"/>
        <n v="2184.0500000000002"/>
        <n v="11785.63"/>
        <n v="6298.75"/>
        <n v="112.26"/>
        <n v="4953.3900000000003"/>
        <n v="4550"/>
        <n v="1005.48"/>
        <n v="1381"/>
        <n v="405.94"/>
        <n v="126.65"/>
        <n v="520"/>
        <n v="5114.8100000000004"/>
        <n v="2074.2800000000002"/>
        <n v="3905"/>
        <n v="554.32000000000005"/>
        <n v="161.4"/>
        <n v="2640"/>
        <n v="1502.5"/>
        <n v="2105.4"/>
        <n v="510"/>
        <n v="2298"/>
        <n v="590"/>
        <n v="225"/>
        <n v="287"/>
        <n v="70"/>
        <n v="2136.98"/>
        <n v="0.01"/>
        <n v="3542.39"/>
        <n v="3332.39"/>
        <n v="255"/>
        <n v="1516"/>
        <n v="2273.25"/>
        <n v="320"/>
        <n v="480"/>
        <n v="2152.5"/>
        <n v="3095.95"/>
        <n v="4647"/>
        <n v="1939"/>
        <n v="7443.75"/>
        <n v="1641.5"/>
        <n v="3700"/>
        <n v="12799.21"/>
        <n v="571"/>
        <n v="575"/>
        <n v="6576.19"/>
        <n v="2625"/>
        <n v="1375"/>
        <n v="100"/>
        <n v="12500"/>
        <n v="2575"/>
        <n v="337"/>
        <n v="10325"/>
        <n v="9842.39"/>
        <n v="7322.39"/>
        <n v="250"/>
        <n v="36081.56"/>
        <n v="1576.76"/>
        <n v="12500.78"/>
        <n v="3187.5"/>
        <n v="2350.7800000000002"/>
        <n v="362.5"/>
        <n v="2325"/>
        <n v="750"/>
        <n v="9125"/>
        <n v="925"/>
        <n v="7112.39"/>
        <n v="515291.08"/>
        <n v="92580.93"/>
        <n v="11746.8"/>
        <n v="120"/>
        <n v="1650"/>
        <n v="1200"/>
        <n v="1492.2"/>
        <n v="1236"/>
        <n v="105"/>
        <n v="549"/>
        <n v="375"/>
        <n v="4222.47"/>
        <n v="4178.88"/>
        <n v="3688.5"/>
        <n v="2568.12"/>
        <n v="4260.34"/>
        <n v="2137.8200000000002"/>
        <n v="240"/>
        <n v="4221.75"/>
        <n v="5680"/>
        <n v="3698.79"/>
        <n v="306.35000000000002"/>
        <n v="4270"/>
        <n v="3467.25"/>
        <n v="2286.75"/>
        <n v="1977.3"/>
        <n v="10280"/>
        <n v="182.88"/>
        <n v="5793.6"/>
        <n v="3660"/>
        <n v="893"/>
        <n v="325"/>
        <n v="930.5"/>
        <n v="111.6"/>
        <n v="84"/>
        <n v="5905.2"/>
        <n v="265"/>
        <n v="2089"/>
        <n v="2013.25"/>
        <n v="1350.05"/>
        <n v="10923.61"/>
        <n v="1959.3"/>
        <n v="6550"/>
        <n v="2937.4"/>
        <n v="3936.8"/>
        <n v="3862.4"/>
        <n v="190"/>
        <n v="97.37"/>
        <n v="2491"/>
        <n v="2405.5"/>
        <n v="2002.2"/>
        <n v="600"/>
        <n v="459.68"/>
        <n v="1100"/>
        <n v="9100"/>
        <n v="7446"/>
        <n v="9851"/>
        <n v="2782.5"/>
        <n v="1508.1"/>
        <n v="1422.45"/>
        <n v="3766.26"/>
        <n v="3162.74"/>
        <n v="579.5"/>
        <n v="510.81"/>
        <n v="510.43"/>
        <n v="1274"/>
        <n v="1908"/>
        <n v="345"/>
        <n v="1067.5"/>
        <n v="302.64"/>
        <n v="3602.7"/>
        <n v="3586.38"/>
        <n v="3521.33"/>
        <n v="3516.87"/>
        <n v="420.88"/>
        <n v="4643"/>
        <n v="2289.2600000000002"/>
        <n v="822.5"/>
        <n v="202"/>
        <n v="166"/>
        <n v="950"/>
        <n v="650"/>
        <n v="3608"/>
        <n v="1679"/>
        <n v="1511.25"/>
        <n v="645.98"/>
        <n v="2800"/>
        <n v="206"/>
        <n v="617438.82999999996"/>
        <n v="1250.9000000000001"/>
        <n v="800"/>
        <n v="499"/>
        <n v="598.65"/>
        <n v="348.65"/>
        <n v="1395.6"/>
        <n v="2330"/>
        <n v="175"/>
        <n v="1250"/>
        <n v="625"/>
        <n v="2150"/>
        <n v="737.81"/>
        <n v="732.01"/>
        <n v="636.75"/>
        <n v="7630"/>
        <n v="490"/>
        <n v="186.84"/>
        <n v="2897.5"/>
        <n v="-4000"/>
        <n v="4530"/>
        <n v="1975"/>
        <n v="4825"/>
        <n v="1861.25"/>
        <n v="-15276.24"/>
      </sharedItems>
    </cacheField>
    <cacheField name="Over 91 Days" numFmtId="0">
      <sharedItems containsSemiMixedTypes="0" containsString="0" containsNumber="1" minValue="0" maxValue="617438.82999999996" count="236">
        <n v="1000"/>
        <n v="300"/>
        <n v="1411"/>
        <n v="10723.96"/>
        <n v="1599"/>
        <n v="533"/>
        <n v="6118.84"/>
        <n v="932.75"/>
        <n v="799.5"/>
        <n v="0"/>
        <n v="2172"/>
        <n v="2381.5"/>
        <n v="414"/>
        <n v="6668"/>
        <n v="1662.75"/>
        <n v="2760.38"/>
        <n v="5666"/>
        <n v="700"/>
        <n v="4240"/>
        <n v="280"/>
        <n v="4250"/>
        <n v="5959.5"/>
        <n v="450"/>
        <n v="53611.56"/>
        <n v="42166.11"/>
        <n v="38578.480000000003"/>
        <n v="15873.78"/>
        <n v="55"/>
        <n v="3500"/>
        <n v="583"/>
        <n v="57210.13"/>
        <n v="1125"/>
        <n v="9118.98"/>
        <n v="12825"/>
        <n v="276.25"/>
        <n v="52990.54"/>
        <n v="4222.57"/>
        <n v="6106.85"/>
        <n v="500"/>
        <n v="9327.7999999999993"/>
        <n v="2133.8200000000002"/>
        <n v="350"/>
        <n v="25330.5"/>
        <n v="667.54"/>
        <n v="1575"/>
        <n v="9856.7999999999993"/>
        <n v="4420.3999999999996"/>
        <n v="8656"/>
        <n v="6017"/>
        <n v="75"/>
        <n v="125"/>
        <n v="147.44"/>
        <n v="1551.25"/>
        <n v="422.66"/>
        <n v="3750"/>
        <n v="162.38"/>
        <n v="3675.51"/>
        <n v="11435"/>
        <n v="150"/>
        <n v="4252.8100000000004"/>
        <n v="632.17999999999995"/>
        <n v="363.45"/>
        <n v="1300"/>
        <n v="1070"/>
        <n v="37.83"/>
        <n v="2463"/>
        <n v="119.01"/>
        <n v="5449"/>
        <n v="96.13"/>
        <n v="45.64"/>
        <n v="789.5"/>
        <n v="2744"/>
        <n v="162.99"/>
        <n v="400"/>
        <n v="200"/>
        <n v="172.12"/>
        <n v="141.4"/>
        <n v="13.53"/>
        <n v="77179.850000000006"/>
        <n v="2360"/>
        <n v="2184.0500000000002"/>
        <n v="11785.63"/>
        <n v="6298.75"/>
        <n v="112.26"/>
        <n v="4953.3900000000003"/>
        <n v="4550"/>
        <n v="1005.48"/>
        <n v="1381"/>
        <n v="405.94"/>
        <n v="126.65"/>
        <n v="520"/>
        <n v="5114.8100000000004"/>
        <n v="2074.2800000000002"/>
        <n v="3905"/>
        <n v="554.32000000000005"/>
        <n v="161.4"/>
        <n v="2640"/>
        <n v="1502.5"/>
        <n v="2105.4"/>
        <n v="510"/>
        <n v="2298"/>
        <n v="590"/>
        <n v="225"/>
        <n v="287"/>
        <n v="70"/>
        <n v="2136.98"/>
        <n v="0.01"/>
        <n v="3542.39"/>
        <n v="3332.39"/>
        <n v="255"/>
        <n v="1516"/>
        <n v="2273.25"/>
        <n v="320"/>
        <n v="2625"/>
        <n v="1375"/>
        <n v="100"/>
        <n v="12500"/>
        <n v="2575"/>
        <n v="337"/>
        <n v="10325"/>
        <n v="9842.39"/>
        <n v="7322.39"/>
        <n v="36081.56"/>
        <n v="1576.76"/>
        <n v="12500.78"/>
        <n v="3187.5"/>
        <n v="2350.7800000000002"/>
        <n v="362.5"/>
        <n v="2325"/>
        <n v="750"/>
        <n v="9125"/>
        <n v="925"/>
        <n v="7112.39"/>
        <n v="11746.8"/>
        <n v="120"/>
        <n v="1650"/>
        <n v="1200"/>
        <n v="1492.2"/>
        <n v="1236"/>
        <n v="105"/>
        <n v="549"/>
        <n v="375"/>
        <n v="4222.47"/>
        <n v="4178.88"/>
        <n v="3688.5"/>
        <n v="2568.12"/>
        <n v="4260.34"/>
        <n v="2137.8200000000002"/>
        <n v="240"/>
        <n v="4221.75"/>
        <n v="5680"/>
        <n v="3698.79"/>
        <n v="306.35000000000002"/>
        <n v="4270"/>
        <n v="3467.25"/>
        <n v="2286.75"/>
        <n v="1977.3"/>
        <n v="10280"/>
        <n v="182.88"/>
        <n v="5793.6"/>
        <n v="3660"/>
        <n v="893"/>
        <n v="325"/>
        <n v="930.5"/>
        <n v="111.6"/>
        <n v="84"/>
        <n v="5905.2"/>
        <n v="265"/>
        <n v="2089"/>
        <n v="2013.25"/>
        <n v="1350.05"/>
        <n v="10923.61"/>
        <n v="1959.3"/>
        <n v="6550"/>
        <n v="2937.4"/>
        <n v="3936.8"/>
        <n v="3862.4"/>
        <n v="190"/>
        <n v="97.37"/>
        <n v="2491"/>
        <n v="2405.5"/>
        <n v="2002.2"/>
        <n v="600"/>
        <n v="459.68"/>
        <n v="1100"/>
        <n v="9100"/>
        <n v="7446"/>
        <n v="9851"/>
        <n v="2782.5"/>
        <n v="1508.1"/>
        <n v="1422.45"/>
        <n v="3766.26"/>
        <n v="3162.74"/>
        <n v="579.5"/>
        <n v="510.81"/>
        <n v="510.43"/>
        <n v="1274"/>
        <n v="1908"/>
        <n v="345"/>
        <n v="1067.5"/>
        <n v="302.64"/>
        <n v="3602.7"/>
        <n v="3586.38"/>
        <n v="3521.33"/>
        <n v="3516.87"/>
        <n v="420.88"/>
        <n v="4643"/>
        <n v="2289.2600000000002"/>
        <n v="822.5"/>
        <n v="250"/>
        <n v="202"/>
        <n v="166"/>
        <n v="950"/>
        <n v="650"/>
        <n v="3608"/>
        <n v="1679"/>
        <n v="1511.25"/>
        <n v="645.98"/>
        <n v="2800"/>
        <n v="206"/>
        <n v="617438.82999999996"/>
        <n v="1250.9000000000001"/>
        <n v="800"/>
        <n v="499"/>
        <n v="598.65"/>
        <n v="348.65"/>
        <n v="1395.6"/>
        <n v="2330"/>
        <n v="175"/>
        <n v="1250"/>
        <n v="625"/>
        <n v="2150"/>
        <n v="737.81"/>
        <n v="732.01"/>
        <n v="636.75"/>
        <n v="76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usrat8496@gmail.com" refreshedDate="46177.744012847223" createdVersion="6" refreshedVersion="6" minRefreshableVersion="3" recordCount="463">
  <cacheSource type="worksheet">
    <worksheetSource ref="A2:J465" sheet="Combined AP Data"/>
  </cacheSource>
  <cacheFields count="10">
    <cacheField name="Company" numFmtId="0">
      <sharedItems containsBlank="1" count="7">
        <s v="Travolta Engineers &amp; Builders LLC"/>
        <s v="Travolta Homes LLC"/>
        <s v="Travolta Investment LLC"/>
        <s v="Travolta Marine LLC"/>
        <s v="TRAVOLTA MV LLC"/>
        <m/>
        <s v="TOTAL"/>
      </sharedItems>
    </cacheField>
    <cacheField name="Date" numFmtId="0">
      <sharedItems containsNonDate="0" containsDate="1" containsString="0" containsBlank="1" minDate="2021-06-30T00:00:00" maxDate="2023-07-15T00:00:00"/>
    </cacheField>
    <cacheField name="Transaction Type" numFmtId="0">
      <sharedItems containsBlank="1"/>
    </cacheField>
    <cacheField name="Num" numFmtId="0">
      <sharedItems containsBlank="1" containsMixedTypes="1" containsNumber="1" containsInteger="1" minValue="466" maxValue="89680294"/>
    </cacheField>
    <cacheField name="Vendor" numFmtId="0">
      <sharedItems containsBlank="1"/>
    </cacheField>
    <cacheField name="Due Date" numFmtId="0">
      <sharedItems containsNonDate="0" containsDate="1" containsString="0" containsBlank="1" minDate="2021-07-10T00:00:00" maxDate="2023-07-31T00:00:00"/>
    </cacheField>
    <cacheField name="Past Due" numFmtId="0">
      <sharedItems containsString="0" containsBlank="1" containsNumber="1" containsInteger="1" minValue="-8" maxValue="742"/>
    </cacheField>
    <cacheField name="Aging Bucket" numFmtId="0">
      <sharedItems containsBlank="1"/>
    </cacheField>
    <cacheField name="Amount" numFmtId="0">
      <sharedItems containsString="0" containsBlank="1" containsNumber="1" minValue="-15276.24" maxValue="2579175.1099999971"/>
    </cacheField>
    <cacheField name="Open Balance" numFmtId="0">
      <sharedItems containsString="0" containsBlank="1" containsNumber="1" minValue="-15276.24" maxValue="2539527.919999997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usrat8496@gmail.com" refreshedDate="46177.744013078707" createdVersion="3" refreshedVersion="6" recordCount="461">
  <cacheSource type="worksheet">
    <worksheetSource ref="A2:J463" sheet="Combined AP Data"/>
  </cacheSource>
  <cacheFields count="10">
    <cacheField name="Company" numFmtId="0">
      <sharedItems count="5">
        <s v="Travolta Engineers &amp; Builders LLC"/>
        <s v="Travolta Homes LLC"/>
        <s v="Travolta Investment LLC"/>
        <s v="Travolta Marine LLC"/>
        <s v="TRAVOLTA MV LLC"/>
      </sharedItems>
    </cacheField>
    <cacheField name="Date" numFmtId="167">
      <sharedItems containsSemiMixedTypes="0" containsNonDate="0" containsDate="1" containsString="0" minDate="2021-06-30T00:00:00" maxDate="2023-07-15T00:00:00"/>
    </cacheField>
    <cacheField name="Transaction Type" numFmtId="0">
      <sharedItems/>
    </cacheField>
    <cacheField name="Num" numFmtId="0">
      <sharedItems containsMixedTypes="1" containsNumber="1" containsInteger="1" minValue="466" maxValue="89680294"/>
    </cacheField>
    <cacheField name="Vendor" numFmtId="0">
      <sharedItems count="64">
        <s v="Stormcon LLC"/>
        <s v="BAKER CLEARVIEW OPERATING, LLC"/>
        <s v="The ROBINSON Law Firm"/>
        <s v="Hyphen Solution"/>
        <s v="Alliance Geotechnical Group Inc"/>
        <s v="Geoscience Engineers, LLC"/>
        <s v="Pipeline Land Service Inc"/>
        <s v="Trinity Green Services, LLC"/>
        <s v="JDJR ENGINEERS &amp; CONSULTANTS, INC"/>
        <s v="Roome Land Surveying"/>
        <s v="Oldham Lumber Company"/>
        <s v="SYB CONSTRUCTION COMPANY,INC"/>
        <s v="INDIA ASSOCIATION OF NORTH TEXAS"/>
        <s v="Michael Page International Inc"/>
        <s v="Potter Concrete Residential Ltd"/>
        <s v="Childress Engineering Services, Inc"/>
        <s v="Irving Texas"/>
        <s v="L&amp;S Mechanical - HVAC"/>
        <s v="Millen Oil Company"/>
        <s v="ProStar Services Inc DBA Parks Coffee"/>
        <s v="Texas Select Erosion"/>
        <s v="AlphaGraphics"/>
        <s v="B.G. Grading LLC"/>
        <s v="E NUE DESIGN"/>
        <s v="Engineers and Builders A/p"/>
        <s v="Bush Rudnicki Shelton PC"/>
        <s v="WILLSCOT"/>
        <s v="SPIARS ENGINEERING &amp; SURVEYING"/>
        <s v="Oralio Gelaso"/>
        <s v="Quench USA, Inc"/>
        <s v="Miller Services, Inc."/>
        <s v="ECI"/>
        <s v="CMAC Roofing LLC"/>
        <s v="Davis Consulting Engineers, PLLC"/>
        <s v="Advanced Nameplates, Inc"/>
        <s v="Virtual Protective"/>
        <s v="Complete LandSculpture"/>
        <s v="Bri-Cor Contractors Inc"/>
        <s v="EAGLE SURVEYING"/>
        <s v="North Collin Special Utility District"/>
        <s v="ADR Designs LLC"/>
        <s v="Aspen Engineers &amp; Builders LLC"/>
        <s v="Glenn Thurman Inc"/>
        <s v="Aubrey Brick &amp; ClayStone Co."/>
        <s v="Burgess Construction Consultants Inc"/>
        <s v="AME Trash Removal"/>
        <s v="Alliance Materials, Inc."/>
        <s v="L&amp;S Mechanical - Plumbing"/>
        <s v="WISENBAKER BUILDER SERVICES,INC."/>
        <s v="Masterplan"/>
        <s v="ACME Brick"/>
        <s v="L&amp;S Mechanical - Electric"/>
        <s v="HomeTeam Pest Defense Inc"/>
        <s v="Fireside Hearth &amp; Home"/>
        <s v="BG Grading LLC"/>
        <s v="Fashion Glass &amp; Mirror"/>
        <s v="FCC Environmental Service TX"/>
        <s v="Aspen Enginners &amp; Builders LLC"/>
        <s v="Bullseye Balloon Promotions Inc."/>
        <s v="Williams Insulation"/>
        <s v="Aurora Painting LLC"/>
        <s v="Wonder Brothers"/>
        <s v="PREMIER Waste Services, LLC"/>
        <s v="MNV CONSTRUCTION AND REMODELING LLC"/>
      </sharedItems>
    </cacheField>
    <cacheField name="Due Date" numFmtId="167">
      <sharedItems containsNonDate="0" containsDate="1" containsString="0" containsBlank="1" minDate="2021-07-10T00:00:00" maxDate="2023-07-31T00:00:00"/>
    </cacheField>
    <cacheField name="Past Due" numFmtId="3">
      <sharedItems containsSemiMixedTypes="0" containsString="0" containsNumber="1" containsInteger="1" minValue="-8" maxValue="742"/>
    </cacheField>
    <cacheField name="Aging Bucket" numFmtId="0">
      <sharedItems count="5">
        <s v="91+ days"/>
        <s v="61-90 days"/>
        <s v="31-60 days"/>
        <s v="1-30 days"/>
        <s v="Current"/>
      </sharedItems>
    </cacheField>
    <cacheField name="Amount" numFmtId="164">
      <sharedItems containsSemiMixedTypes="0" containsString="0" containsNumber="1" minValue="-15276.24" maxValue="617438.82999999996"/>
    </cacheField>
    <cacheField name="Open Balance" numFmtId="164">
      <sharedItems containsSemiMixedTypes="0" containsString="0" containsNumber="1" minValue="-15276.24" maxValue="617438.82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1">
  <r>
    <x v="0"/>
    <d v="2022-06-30T00:00:00"/>
    <s v="Bill"/>
    <n v="7488"/>
    <x v="0"/>
    <d v="2022-06-30T00:00:00"/>
    <n v="387"/>
    <x v="0"/>
    <n v="1000"/>
    <x v="0"/>
    <x v="0"/>
  </r>
  <r>
    <x v="0"/>
    <d v="2022-09-01T00:00:00"/>
    <s v="Bill"/>
    <n v="25779"/>
    <x v="1"/>
    <d v="2022-09-16T00:00:00"/>
    <n v="309"/>
    <x v="0"/>
    <n v="300"/>
    <x v="1"/>
    <x v="1"/>
  </r>
  <r>
    <x v="0"/>
    <d v="2022-10-10T00:00:00"/>
    <s v="Bill"/>
    <n v="221013"/>
    <x v="2"/>
    <d v="2022-10-10T00:00:00"/>
    <n v="285"/>
    <x v="0"/>
    <n v="1411"/>
    <x v="2"/>
    <x v="2"/>
  </r>
  <r>
    <x v="0"/>
    <d v="2022-10-10T00:00:00"/>
    <s v="Bill"/>
    <n v="221017"/>
    <x v="2"/>
    <d v="2022-10-10T00:00:00"/>
    <n v="285"/>
    <x v="0"/>
    <n v="1000"/>
    <x v="0"/>
    <x v="0"/>
  </r>
  <r>
    <x v="0"/>
    <d v="2022-10-17T00:00:00"/>
    <s v="Bill"/>
    <s v="0070968819-IN"/>
    <x v="3"/>
    <d v="2022-10-17T00:00:00"/>
    <n v="278"/>
    <x v="0"/>
    <n v="10723.96"/>
    <x v="3"/>
    <x v="3"/>
  </r>
  <r>
    <x v="0"/>
    <d v="2022-10-17T00:00:00"/>
    <s v="Bill"/>
    <s v="0070968625-IN"/>
    <x v="3"/>
    <d v="2022-10-17T00:00:00"/>
    <n v="278"/>
    <x v="0"/>
    <n v="1599"/>
    <x v="4"/>
    <x v="4"/>
  </r>
  <r>
    <x v="0"/>
    <d v="2022-10-17T00:00:00"/>
    <s v="Bill"/>
    <s v="0070968624-IN"/>
    <x v="3"/>
    <d v="2022-10-17T00:00:00"/>
    <n v="278"/>
    <x v="0"/>
    <n v="533"/>
    <x v="5"/>
    <x v="5"/>
  </r>
  <r>
    <x v="0"/>
    <d v="2022-11-15T00:00:00"/>
    <s v="Bill"/>
    <s v="0070985682-IN"/>
    <x v="3"/>
    <d v="2022-11-15T00:00:00"/>
    <n v="249"/>
    <x v="0"/>
    <n v="6118.84"/>
    <x v="6"/>
    <x v="6"/>
  </r>
  <r>
    <x v="0"/>
    <d v="2022-11-15T00:00:00"/>
    <s v="Bill"/>
    <s v="0070985329-IN"/>
    <x v="3"/>
    <d v="2022-11-15T00:00:00"/>
    <n v="249"/>
    <x v="0"/>
    <n v="932.75"/>
    <x v="7"/>
    <x v="7"/>
  </r>
  <r>
    <x v="0"/>
    <d v="2022-11-15T00:00:00"/>
    <s v="Bill"/>
    <s v="0070985328-IN"/>
    <x v="3"/>
    <d v="2022-11-15T00:00:00"/>
    <n v="249"/>
    <x v="0"/>
    <n v="799.5"/>
    <x v="8"/>
    <x v="8"/>
  </r>
  <r>
    <x v="0"/>
    <d v="2022-11-01T00:00:00"/>
    <s v="Bill"/>
    <n v="26039"/>
    <x v="1"/>
    <d v="2022-11-16T00:00:00"/>
    <n v="248"/>
    <x v="0"/>
    <n v="300"/>
    <x v="1"/>
    <x v="1"/>
  </r>
  <r>
    <x v="0"/>
    <d v="2022-12-15T00:00:00"/>
    <s v="Bill"/>
    <s v="0071002271-IN"/>
    <x v="3"/>
    <d v="2022-12-15T00:00:00"/>
    <n v="219"/>
    <x v="0"/>
    <n v="6118.84"/>
    <x v="6"/>
    <x v="6"/>
  </r>
  <r>
    <x v="0"/>
    <d v="2022-12-15T00:00:00"/>
    <s v="Bill"/>
    <s v="0071002686-IN"/>
    <x v="3"/>
    <d v="2022-12-15T00:00:00"/>
    <n v="219"/>
    <x v="0"/>
    <n v="932.75"/>
    <x v="7"/>
    <x v="7"/>
  </r>
  <r>
    <x v="0"/>
    <d v="2023-01-15T00:00:00"/>
    <s v="Bill"/>
    <s v="0071019491-IN"/>
    <x v="3"/>
    <d v="2023-01-15T00:00:00"/>
    <n v="188"/>
    <x v="0"/>
    <n v="6118.84"/>
    <x v="6"/>
    <x v="6"/>
  </r>
  <r>
    <x v="0"/>
    <d v="2023-02-15T00:00:00"/>
    <s v="Bill"/>
    <n v="71021740"/>
    <x v="3"/>
    <d v="2023-02-15T00:00:00"/>
    <n v="157"/>
    <x v="0"/>
    <n v="6118.84"/>
    <x v="6"/>
    <x v="6"/>
  </r>
  <r>
    <x v="0"/>
    <d v="2023-03-15T00:00:00"/>
    <s v="Bill"/>
    <s v="0071039015-IN"/>
    <x v="3"/>
    <d v="2023-03-15T00:00:00"/>
    <n v="129"/>
    <x v="0"/>
    <n v="6118.84"/>
    <x v="6"/>
    <x v="6"/>
  </r>
  <r>
    <x v="0"/>
    <d v="2023-03-01T00:00:00"/>
    <s v="Bill"/>
    <n v="26505"/>
    <x v="1"/>
    <d v="2023-03-16T00:00:00"/>
    <n v="128"/>
    <x v="0"/>
    <n v="300"/>
    <x v="1"/>
    <x v="1"/>
  </r>
  <r>
    <x v="0"/>
    <d v="2023-04-14T00:00:00"/>
    <s v="Bill"/>
    <s v="0071056471-IN"/>
    <x v="3"/>
    <d v="2023-04-14T00:00:00"/>
    <n v="99"/>
    <x v="0"/>
    <n v="6118.84"/>
    <x v="6"/>
    <x v="6"/>
  </r>
  <r>
    <x v="0"/>
    <d v="2023-05-15T00:00:00"/>
    <s v="Bill"/>
    <s v="0071074028-IN"/>
    <x v="3"/>
    <d v="2023-05-15T00:00:00"/>
    <n v="68"/>
    <x v="1"/>
    <n v="6118.84"/>
    <x v="6"/>
    <x v="9"/>
  </r>
  <r>
    <x v="0"/>
    <d v="2023-06-15T00:00:00"/>
    <s v="Bill"/>
    <s v="0071091788-IN"/>
    <x v="3"/>
    <d v="2023-06-15T00:00:00"/>
    <n v="37"/>
    <x v="2"/>
    <n v="6118.84"/>
    <x v="6"/>
    <x v="9"/>
  </r>
  <r>
    <x v="0"/>
    <d v="2023-07-14T00:00:00"/>
    <s v="Bill"/>
    <s v="0071110291-IN"/>
    <x v="3"/>
    <d v="2023-07-14T00:00:00"/>
    <n v="8"/>
    <x v="3"/>
    <n v="6302.41"/>
    <x v="9"/>
    <x v="9"/>
  </r>
  <r>
    <x v="1"/>
    <d v="2021-12-31T00:00:00"/>
    <s v="Bill"/>
    <s v="DC21599-3871"/>
    <x v="4"/>
    <d v="2021-12-31T00:00:00"/>
    <n v="568"/>
    <x v="0"/>
    <n v="2172"/>
    <x v="10"/>
    <x v="10"/>
  </r>
  <r>
    <x v="1"/>
    <d v="2022-01-31T00:00:00"/>
    <s v="Bill"/>
    <s v="DC21599-0309"/>
    <x v="4"/>
    <d v="2022-01-31T00:00:00"/>
    <n v="537"/>
    <x v="0"/>
    <n v="2381.5"/>
    <x v="11"/>
    <x v="11"/>
  </r>
  <r>
    <x v="1"/>
    <d v="2022-02-28T00:00:00"/>
    <s v="Bill"/>
    <s v="DC21599-0536"/>
    <x v="4"/>
    <d v="2022-02-28T00:00:00"/>
    <n v="509"/>
    <x v="0"/>
    <n v="414"/>
    <x v="12"/>
    <x v="12"/>
  </r>
  <r>
    <x v="1"/>
    <d v="2022-03-31T00:00:00"/>
    <s v="Bill"/>
    <s v="DC21599-0849"/>
    <x v="4"/>
    <d v="2022-03-31T00:00:00"/>
    <n v="478"/>
    <x v="0"/>
    <n v="6668"/>
    <x v="13"/>
    <x v="13"/>
  </r>
  <r>
    <x v="1"/>
    <d v="2022-04-20T00:00:00"/>
    <s v="Bill"/>
    <n v="3456"/>
    <x v="5"/>
    <d v="2022-04-20T00:00:00"/>
    <n v="458"/>
    <x v="0"/>
    <n v="1662.75"/>
    <x v="14"/>
    <x v="14"/>
  </r>
  <r>
    <x v="1"/>
    <d v="2022-03-31T00:00:00"/>
    <s v="Bill"/>
    <s v="2022-183"/>
    <x v="6"/>
    <d v="2022-04-30T00:00:00"/>
    <n v="448"/>
    <x v="0"/>
    <n v="2760.38"/>
    <x v="15"/>
    <x v="15"/>
  </r>
  <r>
    <x v="1"/>
    <d v="2022-04-30T00:00:00"/>
    <s v="Bill"/>
    <s v="DC21599-1206"/>
    <x v="4"/>
    <d v="2022-04-30T00:00:00"/>
    <n v="448"/>
    <x v="0"/>
    <n v="5666"/>
    <x v="16"/>
    <x v="16"/>
  </r>
  <r>
    <x v="1"/>
    <d v="2022-05-05T00:00:00"/>
    <s v="Bill"/>
    <n v="3499"/>
    <x v="5"/>
    <d v="2022-05-05T00:00:00"/>
    <n v="443"/>
    <x v="0"/>
    <n v="700"/>
    <x v="17"/>
    <x v="17"/>
  </r>
  <r>
    <x v="1"/>
    <d v="2022-05-02T00:00:00"/>
    <s v="Bill"/>
    <s v="2022-246"/>
    <x v="6"/>
    <d v="2022-06-01T00:00:00"/>
    <n v="416"/>
    <x v="0"/>
    <n v="4240"/>
    <x v="18"/>
    <x v="18"/>
  </r>
  <r>
    <x v="1"/>
    <d v="2022-05-27T00:00:00"/>
    <s v="Bill"/>
    <s v="INV014592"/>
    <x v="7"/>
    <d v="2022-06-26T00:00:00"/>
    <n v="391"/>
    <x v="0"/>
    <n v="280"/>
    <x v="19"/>
    <x v="19"/>
  </r>
  <r>
    <x v="1"/>
    <d v="2022-06-02T00:00:00"/>
    <s v="Bill"/>
    <n v="17304"/>
    <x v="8"/>
    <d v="2022-06-30T00:00:00"/>
    <n v="387"/>
    <x v="0"/>
    <n v="4250"/>
    <x v="20"/>
    <x v="20"/>
  </r>
  <r>
    <x v="1"/>
    <d v="2022-06-30T00:00:00"/>
    <s v="Bill"/>
    <s v="DC21599-1773"/>
    <x v="4"/>
    <d v="2022-06-30T00:00:00"/>
    <n v="387"/>
    <x v="0"/>
    <n v="5959.5"/>
    <x v="21"/>
    <x v="21"/>
  </r>
  <r>
    <x v="1"/>
    <d v="2022-07-13T00:00:00"/>
    <s v="Bill"/>
    <s v="AC894882"/>
    <x v="9"/>
    <d v="2022-07-13T00:00:00"/>
    <n v="374"/>
    <x v="0"/>
    <n v="450"/>
    <x v="22"/>
    <x v="22"/>
  </r>
  <r>
    <x v="1"/>
    <d v="2022-06-27T00:00:00"/>
    <s v="Bill"/>
    <s v="INV016216"/>
    <x v="7"/>
    <d v="2022-07-27T00:00:00"/>
    <n v="360"/>
    <x v="0"/>
    <n v="280"/>
    <x v="19"/>
    <x v="19"/>
  </r>
  <r>
    <x v="1"/>
    <d v="2022-07-28T00:00:00"/>
    <s v="Bill"/>
    <n v="81846"/>
    <x v="10"/>
    <d v="2022-08-07T00:00:00"/>
    <n v="349"/>
    <x v="0"/>
    <n v="53611.56"/>
    <x v="23"/>
    <x v="23"/>
  </r>
  <r>
    <x v="1"/>
    <d v="2022-07-29T00:00:00"/>
    <s v="Bill"/>
    <n v="82006"/>
    <x v="10"/>
    <d v="2022-08-08T00:00:00"/>
    <n v="348"/>
    <x v="0"/>
    <n v="42166.11"/>
    <x v="24"/>
    <x v="24"/>
  </r>
  <r>
    <x v="1"/>
    <d v="2022-07-29T00:00:00"/>
    <s v="Bill"/>
    <n v="82076"/>
    <x v="10"/>
    <d v="2022-08-08T00:00:00"/>
    <n v="348"/>
    <x v="0"/>
    <n v="38578.480000000003"/>
    <x v="25"/>
    <x v="25"/>
  </r>
  <r>
    <x v="1"/>
    <d v="2022-07-29T00:00:00"/>
    <s v="Bill"/>
    <n v="82170"/>
    <x v="10"/>
    <d v="2022-08-08T00:00:00"/>
    <n v="348"/>
    <x v="0"/>
    <n v="15873.78"/>
    <x v="26"/>
    <x v="26"/>
  </r>
  <r>
    <x v="1"/>
    <d v="2022-07-14T00:00:00"/>
    <s v="Bill"/>
    <n v="22059"/>
    <x v="11"/>
    <d v="2022-08-13T00:00:00"/>
    <n v="343"/>
    <x v="0"/>
    <n v="55"/>
    <x v="27"/>
    <x v="27"/>
  </r>
  <r>
    <x v="1"/>
    <d v="2022-08-17T00:00:00"/>
    <s v="Bill"/>
    <n v="918"/>
    <x v="12"/>
    <d v="2022-08-17T00:00:00"/>
    <n v="339"/>
    <x v="0"/>
    <n v="3500"/>
    <x v="28"/>
    <x v="28"/>
  </r>
  <r>
    <x v="1"/>
    <d v="2022-08-11T00:00:00"/>
    <s v="Bill"/>
    <n v="83434"/>
    <x v="10"/>
    <d v="2022-08-21T00:00:00"/>
    <n v="335"/>
    <x v="0"/>
    <n v="583"/>
    <x v="29"/>
    <x v="29"/>
  </r>
  <r>
    <x v="1"/>
    <d v="2022-07-27T00:00:00"/>
    <s v="Bill"/>
    <s v="INV017642"/>
    <x v="7"/>
    <d v="2022-08-26T00:00:00"/>
    <n v="330"/>
    <x v="0"/>
    <n v="280"/>
    <x v="19"/>
    <x v="19"/>
  </r>
  <r>
    <x v="1"/>
    <d v="2022-08-18T00:00:00"/>
    <s v="Bill"/>
    <n v="84256"/>
    <x v="10"/>
    <d v="2022-08-28T00:00:00"/>
    <n v="328"/>
    <x v="0"/>
    <n v="57210.13"/>
    <x v="30"/>
    <x v="30"/>
  </r>
  <r>
    <x v="1"/>
    <d v="2022-08-28T00:00:00"/>
    <s v="Bill"/>
    <n v="220801"/>
    <x v="2"/>
    <d v="2022-08-28T00:00:00"/>
    <n v="328"/>
    <x v="0"/>
    <n v="1125"/>
    <x v="31"/>
    <x v="31"/>
  </r>
  <r>
    <x v="1"/>
    <d v="2022-08-20T00:00:00"/>
    <s v="Bill"/>
    <n v="84496"/>
    <x v="10"/>
    <d v="2022-08-30T00:00:00"/>
    <n v="326"/>
    <x v="0"/>
    <n v="9118.98"/>
    <x v="32"/>
    <x v="32"/>
  </r>
  <r>
    <x v="1"/>
    <d v="2022-08-17T00:00:00"/>
    <s v="Bill"/>
    <s v="INAF10023935"/>
    <x v="13"/>
    <d v="2022-09-01T00:00:00"/>
    <n v="324"/>
    <x v="0"/>
    <n v="12825"/>
    <x v="33"/>
    <x v="33"/>
  </r>
  <r>
    <x v="1"/>
    <d v="2022-08-22T00:00:00"/>
    <s v="Bill"/>
    <n v="84586"/>
    <x v="10"/>
    <d v="2022-09-01T00:00:00"/>
    <n v="324"/>
    <x v="0"/>
    <n v="276.25"/>
    <x v="34"/>
    <x v="34"/>
  </r>
  <r>
    <x v="1"/>
    <d v="2022-08-25T00:00:00"/>
    <s v="Bill"/>
    <n v="85056"/>
    <x v="10"/>
    <d v="2022-09-04T00:00:00"/>
    <n v="321"/>
    <x v="0"/>
    <n v="52990.54"/>
    <x v="35"/>
    <x v="35"/>
  </r>
  <r>
    <x v="1"/>
    <d v="2022-08-26T00:00:00"/>
    <s v="Bill"/>
    <n v="85247"/>
    <x v="10"/>
    <d v="2022-09-05T00:00:00"/>
    <n v="320"/>
    <x v="0"/>
    <n v="4222.57"/>
    <x v="36"/>
    <x v="36"/>
  </r>
  <r>
    <x v="1"/>
    <d v="2022-08-30T00:00:00"/>
    <s v="Bill"/>
    <n v="85658"/>
    <x v="10"/>
    <d v="2022-09-09T00:00:00"/>
    <n v="316"/>
    <x v="0"/>
    <n v="6106.85"/>
    <x v="37"/>
    <x v="37"/>
  </r>
  <r>
    <x v="1"/>
    <d v="2022-09-18T00:00:00"/>
    <s v="Bill"/>
    <n v="620697"/>
    <x v="14"/>
    <d v="2022-09-18T00:00:00"/>
    <n v="307"/>
    <x v="0"/>
    <n v="500"/>
    <x v="38"/>
    <x v="38"/>
  </r>
  <r>
    <x v="1"/>
    <d v="2022-09-10T00:00:00"/>
    <s v="Bill"/>
    <n v="87022"/>
    <x v="10"/>
    <d v="2022-09-20T00:00:00"/>
    <n v="305"/>
    <x v="0"/>
    <n v="9327.7999999999993"/>
    <x v="39"/>
    <x v="39"/>
  </r>
  <r>
    <x v="1"/>
    <d v="2022-08-27T00:00:00"/>
    <s v="Bill"/>
    <s v="INV019935"/>
    <x v="7"/>
    <d v="2022-09-26T00:00:00"/>
    <n v="299"/>
    <x v="0"/>
    <n v="280"/>
    <x v="19"/>
    <x v="19"/>
  </r>
  <r>
    <x v="1"/>
    <d v="2022-09-19T00:00:00"/>
    <s v="Bill"/>
    <n v="88108"/>
    <x v="10"/>
    <d v="2022-09-29T00:00:00"/>
    <n v="296"/>
    <x v="0"/>
    <n v="2133.8200000000002"/>
    <x v="40"/>
    <x v="40"/>
  </r>
  <r>
    <x v="1"/>
    <d v="2022-09-30T00:00:00"/>
    <s v="Bill"/>
    <s v="AC898030"/>
    <x v="9"/>
    <d v="2022-09-30T00:00:00"/>
    <n v="295"/>
    <x v="0"/>
    <n v="350"/>
    <x v="41"/>
    <x v="41"/>
  </r>
  <r>
    <x v="1"/>
    <d v="2022-09-30T00:00:00"/>
    <s v="Bill"/>
    <n v="90102"/>
    <x v="10"/>
    <d v="2022-10-10T00:00:00"/>
    <n v="285"/>
    <x v="0"/>
    <n v="25330.5"/>
    <x v="42"/>
    <x v="42"/>
  </r>
  <r>
    <x v="1"/>
    <d v="2022-09-30T00:00:00"/>
    <s v="Bill"/>
    <n v="90003"/>
    <x v="10"/>
    <d v="2022-10-10T00:00:00"/>
    <n v="285"/>
    <x v="0"/>
    <n v="667.54"/>
    <x v="43"/>
    <x v="43"/>
  </r>
  <r>
    <x v="1"/>
    <d v="2022-10-10T00:00:00"/>
    <s v="Bill"/>
    <n v="221002"/>
    <x v="2"/>
    <d v="2022-10-10T00:00:00"/>
    <n v="285"/>
    <x v="0"/>
    <n v="1575"/>
    <x v="44"/>
    <x v="44"/>
  </r>
  <r>
    <x v="1"/>
    <d v="2022-09-11T00:00:00"/>
    <s v="Bill"/>
    <s v="INV000152009"/>
    <x v="15"/>
    <d v="2022-10-11T00:00:00"/>
    <n v="284"/>
    <x v="0"/>
    <n v="9856.7999999999993"/>
    <x v="45"/>
    <x v="45"/>
  </r>
  <r>
    <x v="1"/>
    <d v="2022-09-11T00:00:00"/>
    <s v="Bill"/>
    <s v="INV000152008"/>
    <x v="15"/>
    <d v="2022-10-11T00:00:00"/>
    <n v="284"/>
    <x v="0"/>
    <n v="8790.4"/>
    <x v="46"/>
    <x v="46"/>
  </r>
  <r>
    <x v="1"/>
    <d v="2022-09-11T00:00:00"/>
    <s v="Bill"/>
    <s v="INV000152010"/>
    <x v="15"/>
    <d v="2022-10-11T00:00:00"/>
    <n v="284"/>
    <x v="0"/>
    <n v="8656"/>
    <x v="47"/>
    <x v="47"/>
  </r>
  <r>
    <x v="1"/>
    <d v="2022-10-12T00:00:00"/>
    <s v="Bill"/>
    <n v="4318"/>
    <x v="5"/>
    <d v="2022-10-12T00:00:00"/>
    <n v="283"/>
    <x v="0"/>
    <n v="6017"/>
    <x v="48"/>
    <x v="48"/>
  </r>
  <r>
    <x v="1"/>
    <d v="2022-09-14T00:00:00"/>
    <s v="Bill"/>
    <s v="INV020639"/>
    <x v="7"/>
    <d v="2022-10-14T00:00:00"/>
    <n v="281"/>
    <x v="0"/>
    <n v="75"/>
    <x v="49"/>
    <x v="49"/>
  </r>
  <r>
    <x v="1"/>
    <d v="2022-10-17T00:00:00"/>
    <s v="Bill"/>
    <s v="CR-22-202"/>
    <x v="16"/>
    <d v="2022-10-17T00:00:00"/>
    <n v="278"/>
    <x v="0"/>
    <n v="125"/>
    <x v="50"/>
    <x v="50"/>
  </r>
  <r>
    <x v="1"/>
    <d v="2022-10-20T00:00:00"/>
    <s v="Bill"/>
    <n v="105887"/>
    <x v="17"/>
    <d v="2022-10-20T00:00:00"/>
    <n v="275"/>
    <x v="0"/>
    <n v="300"/>
    <x v="1"/>
    <x v="1"/>
  </r>
  <r>
    <x v="1"/>
    <d v="2022-10-11T00:00:00"/>
    <s v="Bill"/>
    <n v="91137"/>
    <x v="10"/>
    <d v="2022-10-21T00:00:00"/>
    <n v="274"/>
    <x v="0"/>
    <n v="147.44"/>
    <x v="51"/>
    <x v="51"/>
  </r>
  <r>
    <x v="1"/>
    <d v="2022-10-26T00:00:00"/>
    <s v="Bill"/>
    <s v="INV000155644"/>
    <x v="15"/>
    <d v="2022-10-26T00:00:00"/>
    <n v="269"/>
    <x v="0"/>
    <n v="1551.25"/>
    <x v="52"/>
    <x v="52"/>
  </r>
  <r>
    <x v="1"/>
    <d v="2022-09-27T00:00:00"/>
    <s v="Bill"/>
    <s v="INV021096"/>
    <x v="7"/>
    <d v="2022-10-27T00:00:00"/>
    <n v="268"/>
    <x v="0"/>
    <n v="280"/>
    <x v="19"/>
    <x v="19"/>
  </r>
  <r>
    <x v="1"/>
    <d v="2022-10-18T00:00:00"/>
    <s v="Bill"/>
    <n v="165229"/>
    <x v="18"/>
    <d v="2022-10-28T00:00:00"/>
    <n v="267"/>
    <x v="0"/>
    <n v="422.66"/>
    <x v="53"/>
    <x v="53"/>
  </r>
  <r>
    <x v="1"/>
    <d v="2022-09-30T00:00:00"/>
    <s v="Bill"/>
    <n v="17391"/>
    <x v="8"/>
    <d v="2022-10-30T00:00:00"/>
    <n v="265"/>
    <x v="0"/>
    <n v="3750"/>
    <x v="54"/>
    <x v="54"/>
  </r>
  <r>
    <x v="1"/>
    <d v="2022-10-01T00:00:00"/>
    <s v="Bill"/>
    <n v="10935140"/>
    <x v="19"/>
    <d v="2022-10-31T00:00:00"/>
    <n v="264"/>
    <x v="0"/>
    <n v="162.38"/>
    <x v="55"/>
    <x v="55"/>
  </r>
  <r>
    <x v="1"/>
    <d v="2022-10-25T00:00:00"/>
    <s v="Bill"/>
    <n v="165470"/>
    <x v="18"/>
    <d v="2022-11-04T00:00:00"/>
    <n v="260"/>
    <x v="0"/>
    <n v="3675.51"/>
    <x v="56"/>
    <x v="56"/>
  </r>
  <r>
    <x v="1"/>
    <d v="2022-11-08T00:00:00"/>
    <s v="Bill"/>
    <n v="4421"/>
    <x v="5"/>
    <d v="2022-11-08T00:00:00"/>
    <n v="256"/>
    <x v="0"/>
    <n v="11435"/>
    <x v="57"/>
    <x v="57"/>
  </r>
  <r>
    <x v="1"/>
    <d v="2022-10-12T00:00:00"/>
    <s v="Bill"/>
    <n v="2945"/>
    <x v="20"/>
    <d v="2022-11-11T00:00:00"/>
    <n v="253"/>
    <x v="0"/>
    <n v="150"/>
    <x v="58"/>
    <x v="58"/>
  </r>
  <r>
    <x v="1"/>
    <d v="2022-11-02T00:00:00"/>
    <s v="Bill"/>
    <n v="165639"/>
    <x v="18"/>
    <d v="2022-11-12T00:00:00"/>
    <n v="252"/>
    <x v="0"/>
    <n v="4252.8100000000004"/>
    <x v="59"/>
    <x v="59"/>
  </r>
  <r>
    <x v="1"/>
    <d v="2022-11-02T00:00:00"/>
    <s v="Bill"/>
    <n v="165654"/>
    <x v="18"/>
    <d v="2022-11-12T00:00:00"/>
    <n v="252"/>
    <x v="0"/>
    <n v="632.17999999999995"/>
    <x v="60"/>
    <x v="60"/>
  </r>
  <r>
    <x v="1"/>
    <d v="2022-10-14T00:00:00"/>
    <s v="Bill"/>
    <n v="10939541"/>
    <x v="19"/>
    <d v="2022-11-13T00:00:00"/>
    <n v="251"/>
    <x v="0"/>
    <n v="363.45"/>
    <x v="61"/>
    <x v="61"/>
  </r>
  <r>
    <x v="1"/>
    <d v="2022-10-19T00:00:00"/>
    <s v="Bill"/>
    <n v="2958"/>
    <x v="20"/>
    <d v="2022-11-18T00:00:00"/>
    <n v="246"/>
    <x v="0"/>
    <n v="1300"/>
    <x v="62"/>
    <x v="62"/>
  </r>
  <r>
    <x v="1"/>
    <d v="2022-11-11T00:00:00"/>
    <s v="Bill"/>
    <n v="17410"/>
    <x v="8"/>
    <d v="2022-11-21T00:00:00"/>
    <n v="243"/>
    <x v="0"/>
    <n v="1070"/>
    <x v="63"/>
    <x v="63"/>
  </r>
  <r>
    <x v="1"/>
    <d v="2022-10-27T00:00:00"/>
    <s v="Bill"/>
    <s v="INV023223"/>
    <x v="7"/>
    <d v="2022-11-26T00:00:00"/>
    <n v="238"/>
    <x v="0"/>
    <n v="280"/>
    <x v="19"/>
    <x v="19"/>
  </r>
  <r>
    <x v="1"/>
    <d v="2022-11-01T00:00:00"/>
    <s v="Bill"/>
    <n v="10949631"/>
    <x v="19"/>
    <d v="2022-12-01T00:00:00"/>
    <n v="233"/>
    <x v="0"/>
    <n v="37.83"/>
    <x v="64"/>
    <x v="64"/>
  </r>
  <r>
    <x v="1"/>
    <d v="2022-11-02T00:00:00"/>
    <s v="Bill"/>
    <n v="2991"/>
    <x v="20"/>
    <d v="2022-12-02T00:00:00"/>
    <n v="232"/>
    <x v="0"/>
    <n v="2463"/>
    <x v="65"/>
    <x v="65"/>
  </r>
  <r>
    <x v="1"/>
    <d v="2022-11-02T00:00:00"/>
    <s v="Bill"/>
    <n v="10949349"/>
    <x v="19"/>
    <d v="2022-12-02T00:00:00"/>
    <n v="232"/>
    <x v="0"/>
    <n v="119.01"/>
    <x v="66"/>
    <x v="66"/>
  </r>
  <r>
    <x v="1"/>
    <d v="2022-12-04T00:00:00"/>
    <s v="Bill"/>
    <n v="4501"/>
    <x v="5"/>
    <d v="2022-12-04T00:00:00"/>
    <n v="230"/>
    <x v="0"/>
    <n v="5449"/>
    <x v="67"/>
    <x v="67"/>
  </r>
  <r>
    <x v="1"/>
    <d v="2022-11-22T00:00:00"/>
    <s v="Bill"/>
    <n v="59112"/>
    <x v="21"/>
    <d v="2022-12-07T00:00:00"/>
    <n v="227"/>
    <x v="0"/>
    <n v="96.13"/>
    <x v="68"/>
    <x v="68"/>
  </r>
  <r>
    <x v="1"/>
    <d v="2022-11-22T00:00:00"/>
    <s v="Bill"/>
    <n v="59204"/>
    <x v="21"/>
    <d v="2022-12-07T00:00:00"/>
    <n v="227"/>
    <x v="0"/>
    <n v="45.64"/>
    <x v="69"/>
    <x v="69"/>
  </r>
  <r>
    <x v="1"/>
    <d v="2022-11-09T00:00:00"/>
    <s v="Bill"/>
    <n v="3020"/>
    <x v="20"/>
    <d v="2022-12-09T00:00:00"/>
    <n v="225"/>
    <x v="0"/>
    <n v="789.5"/>
    <x v="70"/>
    <x v="70"/>
  </r>
  <r>
    <x v="1"/>
    <d v="2022-11-09T00:00:00"/>
    <s v="Bill"/>
    <s v="INV023980"/>
    <x v="7"/>
    <d v="2022-12-09T00:00:00"/>
    <n v="225"/>
    <x v="0"/>
    <n v="75"/>
    <x v="49"/>
    <x v="49"/>
  </r>
  <r>
    <x v="1"/>
    <d v="2022-11-09T00:00:00"/>
    <s v="Bill"/>
    <s v="INV023985"/>
    <x v="7"/>
    <d v="2022-12-09T00:00:00"/>
    <n v="225"/>
    <x v="0"/>
    <n v="75"/>
    <x v="49"/>
    <x v="49"/>
  </r>
  <r>
    <x v="1"/>
    <d v="2022-12-09T00:00:00"/>
    <s v="Bill"/>
    <n v="4530"/>
    <x v="5"/>
    <d v="2022-12-09T00:00:00"/>
    <n v="225"/>
    <x v="0"/>
    <n v="2744"/>
    <x v="71"/>
    <x v="71"/>
  </r>
  <r>
    <x v="1"/>
    <d v="2022-11-22T00:00:00"/>
    <s v="Bill"/>
    <n v="59219"/>
    <x v="21"/>
    <d v="2022-12-11T00:00:00"/>
    <n v="223"/>
    <x v="0"/>
    <n v="162.99"/>
    <x v="72"/>
    <x v="72"/>
  </r>
  <r>
    <x v="1"/>
    <d v="2022-12-12T00:00:00"/>
    <s v="Bill"/>
    <n v="695662"/>
    <x v="22"/>
    <d v="2022-12-12T00:00:00"/>
    <n v="222"/>
    <x v="0"/>
    <n v="400"/>
    <x v="73"/>
    <x v="73"/>
  </r>
  <r>
    <x v="1"/>
    <d v="2022-12-12T00:00:00"/>
    <s v="Bill"/>
    <n v="695664"/>
    <x v="22"/>
    <d v="2022-12-12T00:00:00"/>
    <n v="222"/>
    <x v="0"/>
    <n v="200"/>
    <x v="74"/>
    <x v="74"/>
  </r>
  <r>
    <x v="1"/>
    <d v="2022-12-15T00:00:00"/>
    <s v="Bill"/>
    <s v="202212-153"/>
    <x v="23"/>
    <d v="2022-12-15T00:00:00"/>
    <n v="219"/>
    <x v="0"/>
    <n v="172.12"/>
    <x v="75"/>
    <x v="75"/>
  </r>
  <r>
    <x v="1"/>
    <d v="2022-11-22T00:00:00"/>
    <s v="Bill"/>
    <n v="59217"/>
    <x v="21"/>
    <d v="2022-12-22T00:00:00"/>
    <n v="212"/>
    <x v="0"/>
    <n v="141.4"/>
    <x v="76"/>
    <x v="76"/>
  </r>
  <r>
    <x v="1"/>
    <d v="2022-11-22T00:00:00"/>
    <s v="Bill"/>
    <n v="59213"/>
    <x v="21"/>
    <d v="2022-12-22T00:00:00"/>
    <n v="212"/>
    <x v="0"/>
    <n v="13.53"/>
    <x v="77"/>
    <x v="77"/>
  </r>
  <r>
    <x v="1"/>
    <d v="2022-11-27T00:00:00"/>
    <s v="Bill"/>
    <s v="INV024904"/>
    <x v="7"/>
    <d v="2022-12-27T00:00:00"/>
    <n v="207"/>
    <x v="0"/>
    <n v="280"/>
    <x v="19"/>
    <x v="19"/>
  </r>
  <r>
    <x v="1"/>
    <d v="2022-11-29T00:00:00"/>
    <s v="Bill"/>
    <s v="INV025214"/>
    <x v="7"/>
    <d v="2022-12-29T00:00:00"/>
    <n v="205"/>
    <x v="0"/>
    <n v="75"/>
    <x v="49"/>
    <x v="49"/>
  </r>
  <r>
    <x v="1"/>
    <d v="2022-11-29T00:00:00"/>
    <s v="Bill"/>
    <n v="10967493"/>
    <x v="19"/>
    <d v="2022-12-29T00:00:00"/>
    <n v="205"/>
    <x v="0"/>
    <n v="37.83"/>
    <x v="64"/>
    <x v="64"/>
  </r>
  <r>
    <x v="1"/>
    <d v="2022-12-31T00:00:00"/>
    <s v="Journal Entry"/>
    <s v="Adj Engineers&amp;Builder"/>
    <x v="24"/>
    <d v="2022-12-31T00:00:00"/>
    <n v="203"/>
    <x v="0"/>
    <n v="77179.850000000006"/>
    <x v="78"/>
    <x v="78"/>
  </r>
  <r>
    <x v="1"/>
    <d v="2022-12-31T00:00:00"/>
    <s v="Bill"/>
    <n v="524185"/>
    <x v="25"/>
    <d v="2022-12-31T00:00:00"/>
    <n v="203"/>
    <x v="0"/>
    <n v="2360"/>
    <x v="79"/>
    <x v="79"/>
  </r>
  <r>
    <x v="1"/>
    <d v="2023-01-03T00:00:00"/>
    <s v="Bill"/>
    <s v="9016418927"/>
    <x v="26"/>
    <d v="2023-01-03T00:00:00"/>
    <n v="200"/>
    <x v="0"/>
    <n v="2184.0500000000002"/>
    <x v="80"/>
    <x v="80"/>
  </r>
  <r>
    <x v="1"/>
    <d v="2022-10-31T00:00:00"/>
    <s v="Bill"/>
    <n v="26337"/>
    <x v="27"/>
    <d v="2023-01-11T00:00:00"/>
    <n v="192"/>
    <x v="0"/>
    <n v="11785.63"/>
    <x v="81"/>
    <x v="81"/>
  </r>
  <r>
    <x v="1"/>
    <d v="2022-11-30T00:00:00"/>
    <s v="Bill"/>
    <n v="26388"/>
    <x v="27"/>
    <d v="2023-01-12T00:00:00"/>
    <n v="191"/>
    <x v="0"/>
    <n v="6298.75"/>
    <x v="82"/>
    <x v="82"/>
  </r>
  <r>
    <x v="1"/>
    <d v="2022-12-13T00:00:00"/>
    <s v="Bill"/>
    <n v="10978016"/>
    <x v="19"/>
    <d v="2023-01-12T00:00:00"/>
    <n v="191"/>
    <x v="0"/>
    <n v="112.26"/>
    <x v="83"/>
    <x v="83"/>
  </r>
  <r>
    <x v="1"/>
    <d v="2023-01-12T00:00:00"/>
    <s v="Bill"/>
    <s v="9016527823"/>
    <x v="26"/>
    <d v="2023-01-12T00:00:00"/>
    <n v="191"/>
    <x v="0"/>
    <n v="4953.3900000000003"/>
    <x v="84"/>
    <x v="84"/>
  </r>
  <r>
    <x v="1"/>
    <d v="2023-01-13T00:00:00"/>
    <s v="Bill"/>
    <n v="332396"/>
    <x v="28"/>
    <d v="2023-01-13T00:00:00"/>
    <n v="190"/>
    <x v="0"/>
    <n v="4550"/>
    <x v="85"/>
    <x v="85"/>
  </r>
  <r>
    <x v="1"/>
    <d v="2023-01-13T00:00:00"/>
    <s v="Bill"/>
    <s v="9016539883"/>
    <x v="26"/>
    <d v="2023-01-13T00:00:00"/>
    <n v="190"/>
    <x v="0"/>
    <n v="1005.48"/>
    <x v="86"/>
    <x v="86"/>
  </r>
  <r>
    <x v="1"/>
    <d v="2022-12-21T00:00:00"/>
    <s v="Bill"/>
    <n v="3125"/>
    <x v="20"/>
    <d v="2023-01-20T00:00:00"/>
    <n v="183"/>
    <x v="0"/>
    <n v="1381"/>
    <x v="87"/>
    <x v="87"/>
  </r>
  <r>
    <x v="1"/>
    <d v="2023-01-23T00:00:00"/>
    <s v="Bill"/>
    <s v="9016620316"/>
    <x v="26"/>
    <d v="2023-01-23T00:00:00"/>
    <n v="180"/>
    <x v="0"/>
    <n v="405.94"/>
    <x v="88"/>
    <x v="88"/>
  </r>
  <r>
    <x v="1"/>
    <d v="2022-12-27T00:00:00"/>
    <s v="Bill"/>
    <s v="INV026527"/>
    <x v="7"/>
    <d v="2023-01-26T00:00:00"/>
    <n v="177"/>
    <x v="0"/>
    <n v="280"/>
    <x v="19"/>
    <x v="19"/>
  </r>
  <r>
    <x v="1"/>
    <d v="2023-01-01T00:00:00"/>
    <s v="Bill"/>
    <s v="INV05251220"/>
    <x v="29"/>
    <d v="2023-01-31T00:00:00"/>
    <n v="172"/>
    <x v="0"/>
    <n v="126.65"/>
    <x v="89"/>
    <x v="89"/>
  </r>
  <r>
    <x v="1"/>
    <d v="2023-01-04T00:00:00"/>
    <s v="Bill"/>
    <n v="3141"/>
    <x v="20"/>
    <d v="2023-02-03T00:00:00"/>
    <n v="169"/>
    <x v="0"/>
    <n v="520"/>
    <x v="90"/>
    <x v="90"/>
  </r>
  <r>
    <x v="1"/>
    <d v="2023-02-06T00:00:00"/>
    <s v="Bill"/>
    <n v="9681"/>
    <x v="30"/>
    <d v="2023-02-06T00:00:00"/>
    <n v="166"/>
    <x v="0"/>
    <n v="5114.8100000000004"/>
    <x v="91"/>
    <x v="91"/>
  </r>
  <r>
    <x v="1"/>
    <d v="2023-02-09T00:00:00"/>
    <s v="Bill"/>
    <s v="9016801491"/>
    <x v="26"/>
    <d v="2023-02-09T00:00:00"/>
    <n v="163"/>
    <x v="0"/>
    <n v="2074.2800000000002"/>
    <x v="92"/>
    <x v="92"/>
  </r>
  <r>
    <x v="1"/>
    <d v="2023-01-11T00:00:00"/>
    <s v="Bill"/>
    <n v="3148"/>
    <x v="20"/>
    <d v="2023-02-10T00:00:00"/>
    <n v="162"/>
    <x v="0"/>
    <n v="3905"/>
    <x v="93"/>
    <x v="93"/>
  </r>
  <r>
    <x v="1"/>
    <d v="2023-02-01T00:00:00"/>
    <s v="Bill"/>
    <n v="420439"/>
    <x v="31"/>
    <d v="2023-02-11T00:00:00"/>
    <n v="161"/>
    <x v="0"/>
    <n v="554.32000000000005"/>
    <x v="94"/>
    <x v="94"/>
  </r>
  <r>
    <x v="1"/>
    <d v="2023-01-13T00:00:00"/>
    <s v="Bill"/>
    <n v="10993131"/>
    <x v="19"/>
    <d v="2023-02-12T00:00:00"/>
    <n v="160"/>
    <x v="0"/>
    <n v="161.4"/>
    <x v="95"/>
    <x v="95"/>
  </r>
  <r>
    <x v="1"/>
    <d v="2022-12-31T00:00:00"/>
    <s v="Bill"/>
    <n v="26654"/>
    <x v="27"/>
    <d v="2023-02-14T00:00:00"/>
    <n v="158"/>
    <x v="0"/>
    <n v="2640"/>
    <x v="96"/>
    <x v="96"/>
  </r>
  <r>
    <x v="1"/>
    <d v="2023-01-27T00:00:00"/>
    <s v="Bill"/>
    <s v="INV028125"/>
    <x v="7"/>
    <d v="2023-02-26T00:00:00"/>
    <n v="146"/>
    <x v="0"/>
    <n v="280"/>
    <x v="19"/>
    <x v="19"/>
  </r>
  <r>
    <x v="1"/>
    <d v="2023-02-01T00:00:00"/>
    <s v="Bill"/>
    <n v="3195"/>
    <x v="20"/>
    <d v="2023-03-03T00:00:00"/>
    <n v="141"/>
    <x v="0"/>
    <n v="1502.5"/>
    <x v="97"/>
    <x v="97"/>
  </r>
  <r>
    <x v="1"/>
    <d v="2023-03-09T00:00:00"/>
    <s v="Bill"/>
    <s v="9017086026"/>
    <x v="26"/>
    <d v="2023-03-09T00:00:00"/>
    <n v="135"/>
    <x v="0"/>
    <n v="2105.4"/>
    <x v="98"/>
    <x v="98"/>
  </r>
  <r>
    <x v="1"/>
    <d v="2023-02-08T00:00:00"/>
    <s v="Bill"/>
    <n v="3205"/>
    <x v="20"/>
    <d v="2023-03-10T00:00:00"/>
    <n v="134"/>
    <x v="0"/>
    <n v="510"/>
    <x v="99"/>
    <x v="99"/>
  </r>
  <r>
    <x v="1"/>
    <d v="2023-02-13T00:00:00"/>
    <s v="Bill"/>
    <s v="INV028978"/>
    <x v="7"/>
    <d v="2023-03-15T00:00:00"/>
    <n v="129"/>
    <x v="0"/>
    <n v="75"/>
    <x v="49"/>
    <x v="49"/>
  </r>
  <r>
    <x v="1"/>
    <d v="2023-02-13T00:00:00"/>
    <s v="Bill"/>
    <s v="INV028989"/>
    <x v="7"/>
    <d v="2023-03-15T00:00:00"/>
    <n v="129"/>
    <x v="0"/>
    <n v="75"/>
    <x v="49"/>
    <x v="49"/>
  </r>
  <r>
    <x v="1"/>
    <d v="2023-02-15T00:00:00"/>
    <s v="Bill"/>
    <n v="3215"/>
    <x v="20"/>
    <d v="2023-03-17T00:00:00"/>
    <n v="127"/>
    <x v="0"/>
    <n v="2298"/>
    <x v="100"/>
    <x v="100"/>
  </r>
  <r>
    <x v="1"/>
    <d v="2023-02-22T00:00:00"/>
    <s v="Bill"/>
    <n v="3232"/>
    <x v="20"/>
    <d v="2023-03-24T00:00:00"/>
    <n v="120"/>
    <x v="0"/>
    <n v="590"/>
    <x v="101"/>
    <x v="101"/>
  </r>
  <r>
    <x v="1"/>
    <d v="2023-02-27T00:00:00"/>
    <s v="Bill"/>
    <s v="INV029713"/>
    <x v="7"/>
    <d v="2023-03-29T00:00:00"/>
    <n v="115"/>
    <x v="0"/>
    <n v="280"/>
    <x v="19"/>
    <x v="19"/>
  </r>
  <r>
    <x v="1"/>
    <d v="2023-02-28T00:00:00"/>
    <s v="Bill"/>
    <n v="13821"/>
    <x v="32"/>
    <d v="2023-03-30T00:00:00"/>
    <n v="114"/>
    <x v="0"/>
    <n v="225"/>
    <x v="102"/>
    <x v="102"/>
  </r>
  <r>
    <x v="1"/>
    <d v="2023-03-01T00:00:00"/>
    <s v="Bill"/>
    <n v="3240"/>
    <x v="20"/>
    <d v="2023-03-31T00:00:00"/>
    <n v="113"/>
    <x v="0"/>
    <n v="287"/>
    <x v="103"/>
    <x v="103"/>
  </r>
  <r>
    <x v="1"/>
    <d v="2023-03-06T00:00:00"/>
    <s v="Bill"/>
    <s v="INV030129"/>
    <x v="7"/>
    <d v="2023-04-05T00:00:00"/>
    <n v="108"/>
    <x v="0"/>
    <n v="70"/>
    <x v="104"/>
    <x v="104"/>
  </r>
  <r>
    <x v="1"/>
    <d v="2023-04-06T00:00:00"/>
    <s v="Bill"/>
    <s v="9017353726"/>
    <x v="26"/>
    <d v="2023-04-06T00:00:00"/>
    <n v="107"/>
    <x v="0"/>
    <n v="2136.98"/>
    <x v="105"/>
    <x v="105"/>
  </r>
  <r>
    <x v="1"/>
    <d v="2023-04-07T00:00:00"/>
    <s v="Bill"/>
    <s v="JOB(1090)"/>
    <x v="11"/>
    <d v="2023-04-07T00:00:00"/>
    <n v="106"/>
    <x v="0"/>
    <n v="32850"/>
    <x v="106"/>
    <x v="106"/>
  </r>
  <r>
    <x v="1"/>
    <d v="2023-03-27T00:00:00"/>
    <s v="Bill"/>
    <n v="1032"/>
    <x v="33"/>
    <d v="2023-04-10T00:00:00"/>
    <n v="103"/>
    <x v="0"/>
    <n v="3542.39"/>
    <x v="107"/>
    <x v="107"/>
  </r>
  <r>
    <x v="1"/>
    <d v="2023-03-27T00:00:00"/>
    <s v="Bill"/>
    <n v="1041"/>
    <x v="33"/>
    <d v="2023-04-10T00:00:00"/>
    <n v="103"/>
    <x v="0"/>
    <n v="3332.39"/>
    <x v="108"/>
    <x v="108"/>
  </r>
  <r>
    <x v="1"/>
    <d v="2023-03-15T00:00:00"/>
    <s v="Bill"/>
    <n v="3285"/>
    <x v="20"/>
    <d v="2023-04-14T00:00:00"/>
    <n v="99"/>
    <x v="0"/>
    <n v="255"/>
    <x v="109"/>
    <x v="109"/>
  </r>
  <r>
    <x v="1"/>
    <d v="2023-04-14T00:00:00"/>
    <s v="Bill"/>
    <s v="CC030227"/>
    <x v="34"/>
    <d v="2023-04-14T00:00:00"/>
    <n v="99"/>
    <x v="0"/>
    <n v="1516"/>
    <x v="110"/>
    <x v="110"/>
  </r>
  <r>
    <x v="1"/>
    <d v="2023-03-21T00:00:00"/>
    <s v="Bill"/>
    <n v="9283"/>
    <x v="35"/>
    <d v="2023-04-20T00:00:00"/>
    <n v="93"/>
    <x v="0"/>
    <n v="2273.25"/>
    <x v="111"/>
    <x v="111"/>
  </r>
  <r>
    <x v="1"/>
    <d v="2023-03-22T00:00:00"/>
    <s v="Bill"/>
    <n v="3306"/>
    <x v="20"/>
    <d v="2023-04-21T00:00:00"/>
    <n v="92"/>
    <x v="0"/>
    <n v="320"/>
    <x v="112"/>
    <x v="112"/>
  </r>
  <r>
    <x v="1"/>
    <d v="2023-03-29T00:00:00"/>
    <s v="Bill"/>
    <n v="3318"/>
    <x v="20"/>
    <d v="2023-04-28T00:00:00"/>
    <n v="85"/>
    <x v="1"/>
    <n v="480"/>
    <x v="113"/>
    <x v="9"/>
  </r>
  <r>
    <x v="1"/>
    <d v="2023-04-01T00:00:00"/>
    <s v="Bill"/>
    <s v="INV05624063"/>
    <x v="29"/>
    <d v="2023-05-01T00:00:00"/>
    <n v="82"/>
    <x v="1"/>
    <n v="126.65"/>
    <x v="89"/>
    <x v="9"/>
  </r>
  <r>
    <x v="1"/>
    <d v="2023-05-02T00:00:00"/>
    <s v="Bill"/>
    <s v="AC904608"/>
    <x v="9"/>
    <d v="2023-05-02T00:00:00"/>
    <n v="81"/>
    <x v="1"/>
    <n v="350"/>
    <x v="41"/>
    <x v="9"/>
  </r>
  <r>
    <x v="1"/>
    <d v="2023-05-02T00:00:00"/>
    <s v="Bill"/>
    <s v="AC907267"/>
    <x v="9"/>
    <d v="2023-05-02T00:00:00"/>
    <n v="81"/>
    <x v="1"/>
    <n v="350"/>
    <x v="41"/>
    <x v="9"/>
  </r>
  <r>
    <x v="1"/>
    <d v="2023-04-05T00:00:00"/>
    <s v="Bill"/>
    <n v="3352"/>
    <x v="20"/>
    <d v="2023-05-05T00:00:00"/>
    <n v="78"/>
    <x v="1"/>
    <n v="2152.5"/>
    <x v="114"/>
    <x v="9"/>
  </r>
  <r>
    <x v="1"/>
    <d v="2023-05-05T00:00:00"/>
    <s v="Bill"/>
    <s v="9017627181"/>
    <x v="26"/>
    <d v="2023-05-05T00:00:00"/>
    <n v="78"/>
    <x v="1"/>
    <n v="3095.95"/>
    <x v="115"/>
    <x v="9"/>
  </r>
  <r>
    <x v="1"/>
    <d v="2023-05-07T00:00:00"/>
    <s v="Bill"/>
    <n v="4974"/>
    <x v="5"/>
    <d v="2023-05-07T00:00:00"/>
    <n v="76"/>
    <x v="1"/>
    <n v="4647"/>
    <x v="116"/>
    <x v="9"/>
  </r>
  <r>
    <x v="1"/>
    <d v="2023-05-07T00:00:00"/>
    <s v="Bill"/>
    <n v="5160"/>
    <x v="5"/>
    <d v="2023-05-07T00:00:00"/>
    <n v="76"/>
    <x v="1"/>
    <n v="1939"/>
    <x v="117"/>
    <x v="9"/>
  </r>
  <r>
    <x v="1"/>
    <d v="2023-05-09T00:00:00"/>
    <s v="Bill"/>
    <s v="165157-3"/>
    <x v="36"/>
    <d v="2023-05-09T00:00:00"/>
    <n v="74"/>
    <x v="1"/>
    <n v="7443.75"/>
    <x v="118"/>
    <x v="9"/>
  </r>
  <r>
    <x v="1"/>
    <d v="2023-04-12T00:00:00"/>
    <s v="Bill"/>
    <n v="3374"/>
    <x v="20"/>
    <d v="2023-05-12T00:00:00"/>
    <n v="71"/>
    <x v="1"/>
    <n v="1641.5"/>
    <x v="119"/>
    <x v="9"/>
  </r>
  <r>
    <x v="1"/>
    <d v="2023-04-19T00:00:00"/>
    <s v="Bill"/>
    <n v="3391"/>
    <x v="20"/>
    <d v="2023-05-19T00:00:00"/>
    <n v="64"/>
    <x v="1"/>
    <n v="3700"/>
    <x v="120"/>
    <x v="9"/>
  </r>
  <r>
    <x v="1"/>
    <d v="2023-05-24T00:00:00"/>
    <s v="Bill"/>
    <s v="9017784684"/>
    <x v="26"/>
    <d v="2023-05-24T00:00:00"/>
    <n v="59"/>
    <x v="2"/>
    <n v="12799.21"/>
    <x v="121"/>
    <x v="9"/>
  </r>
  <r>
    <x v="1"/>
    <d v="2023-05-27T00:00:00"/>
    <s v="Bill"/>
    <n v="5251"/>
    <x v="5"/>
    <d v="2023-05-27T00:00:00"/>
    <n v="56"/>
    <x v="2"/>
    <n v="571"/>
    <x v="122"/>
    <x v="9"/>
  </r>
  <r>
    <x v="1"/>
    <d v="2023-05-30T00:00:00"/>
    <s v="Bill"/>
    <n v="113867"/>
    <x v="37"/>
    <d v="2023-05-30T00:00:00"/>
    <n v="53"/>
    <x v="2"/>
    <n v="575"/>
    <x v="123"/>
    <x v="9"/>
  </r>
  <r>
    <x v="1"/>
    <d v="2023-06-20T00:00:00"/>
    <s v="Bill"/>
    <s v="2108.048-02"/>
    <x v="38"/>
    <d v="2023-06-20T00:00:00"/>
    <n v="32"/>
    <x v="2"/>
    <n v="6576.19"/>
    <x v="124"/>
    <x v="9"/>
  </r>
  <r>
    <x v="1"/>
    <d v="2023-07-14T00:00:00"/>
    <s v="Bill"/>
    <s v="AC910816"/>
    <x v="9"/>
    <d v="2023-07-14T00:00:00"/>
    <n v="8"/>
    <x v="3"/>
    <n v="500"/>
    <x v="38"/>
    <x v="9"/>
  </r>
  <r>
    <x v="2"/>
    <d v="2022-10-10T00:00:00"/>
    <s v="Bill"/>
    <n v="221019"/>
    <x v="2"/>
    <d v="2022-10-10T00:00:00"/>
    <n v="285"/>
    <x v="0"/>
    <n v="2625"/>
    <x v="125"/>
    <x v="113"/>
  </r>
  <r>
    <x v="2"/>
    <d v="2022-10-10T00:00:00"/>
    <s v="Bill"/>
    <n v="221011"/>
    <x v="2"/>
    <d v="2022-10-10T00:00:00"/>
    <n v="285"/>
    <x v="0"/>
    <n v="1375"/>
    <x v="126"/>
    <x v="114"/>
  </r>
  <r>
    <x v="2"/>
    <d v="2022-11-29T00:00:00"/>
    <s v="Bill"/>
    <n v="53447"/>
    <x v="39"/>
    <d v="2022-11-29T00:00:00"/>
    <n v="235"/>
    <x v="0"/>
    <n v="100"/>
    <x v="127"/>
    <x v="115"/>
  </r>
  <r>
    <x v="2"/>
    <d v="2022-11-29T00:00:00"/>
    <s v="Bill"/>
    <n v="53454"/>
    <x v="39"/>
    <d v="2022-11-29T00:00:00"/>
    <n v="235"/>
    <x v="0"/>
    <n v="100"/>
    <x v="127"/>
    <x v="115"/>
  </r>
  <r>
    <x v="2"/>
    <d v="2022-11-30T00:00:00"/>
    <s v="Bill"/>
    <n v="17419"/>
    <x v="8"/>
    <d v="2022-12-10T00:00:00"/>
    <n v="224"/>
    <x v="0"/>
    <n v="12500"/>
    <x v="128"/>
    <x v="116"/>
  </r>
  <r>
    <x v="2"/>
    <d v="2022-11-29T00:00:00"/>
    <s v="Bill"/>
    <n v="53455"/>
    <x v="39"/>
    <d v="2022-12-12T00:00:00"/>
    <n v="222"/>
    <x v="0"/>
    <n v="2575"/>
    <x v="129"/>
    <x v="117"/>
  </r>
  <r>
    <x v="2"/>
    <d v="2022-11-29T00:00:00"/>
    <s v="Bill"/>
    <n v="53444"/>
    <x v="39"/>
    <d v="2022-12-12T00:00:00"/>
    <n v="222"/>
    <x v="0"/>
    <n v="337"/>
    <x v="130"/>
    <x v="118"/>
  </r>
  <r>
    <x v="2"/>
    <d v="2022-11-29T00:00:00"/>
    <s v="Bill"/>
    <n v="53445"/>
    <x v="39"/>
    <d v="2022-12-12T00:00:00"/>
    <n v="222"/>
    <x v="0"/>
    <n v="100"/>
    <x v="127"/>
    <x v="115"/>
  </r>
  <r>
    <x v="2"/>
    <d v="2022-11-29T00:00:00"/>
    <s v="Bill"/>
    <n v="53446"/>
    <x v="39"/>
    <d v="2022-12-12T00:00:00"/>
    <n v="222"/>
    <x v="0"/>
    <n v="100"/>
    <x v="127"/>
    <x v="115"/>
  </r>
  <r>
    <x v="2"/>
    <d v="2022-11-29T00:00:00"/>
    <s v="Bill"/>
    <n v="53448"/>
    <x v="39"/>
    <d v="2022-12-12T00:00:00"/>
    <n v="222"/>
    <x v="0"/>
    <n v="100"/>
    <x v="127"/>
    <x v="115"/>
  </r>
  <r>
    <x v="2"/>
    <d v="2022-11-29T00:00:00"/>
    <s v="Bill"/>
    <n v="53449"/>
    <x v="39"/>
    <d v="2022-12-12T00:00:00"/>
    <n v="222"/>
    <x v="0"/>
    <n v="100"/>
    <x v="127"/>
    <x v="115"/>
  </r>
  <r>
    <x v="2"/>
    <d v="2022-11-29T00:00:00"/>
    <s v="Bill"/>
    <n v="53450"/>
    <x v="39"/>
    <d v="2022-12-12T00:00:00"/>
    <n v="222"/>
    <x v="0"/>
    <n v="100"/>
    <x v="127"/>
    <x v="115"/>
  </r>
  <r>
    <x v="2"/>
    <d v="2022-11-29T00:00:00"/>
    <s v="Bill"/>
    <n v="53451"/>
    <x v="39"/>
    <d v="2022-12-12T00:00:00"/>
    <n v="222"/>
    <x v="0"/>
    <n v="100"/>
    <x v="127"/>
    <x v="115"/>
  </r>
  <r>
    <x v="2"/>
    <d v="2022-11-29T00:00:00"/>
    <s v="Bill"/>
    <n v="53452"/>
    <x v="39"/>
    <d v="2022-12-12T00:00:00"/>
    <n v="222"/>
    <x v="0"/>
    <n v="100"/>
    <x v="127"/>
    <x v="115"/>
  </r>
  <r>
    <x v="2"/>
    <d v="2022-11-29T00:00:00"/>
    <s v="Bill"/>
    <n v="53453"/>
    <x v="39"/>
    <d v="2022-12-12T00:00:00"/>
    <n v="222"/>
    <x v="0"/>
    <n v="100"/>
    <x v="127"/>
    <x v="115"/>
  </r>
  <r>
    <x v="2"/>
    <d v="2022-12-30T00:00:00"/>
    <s v="Bill"/>
    <n v="17452"/>
    <x v="8"/>
    <d v="2023-01-14T00:00:00"/>
    <n v="189"/>
    <x v="0"/>
    <n v="10325"/>
    <x v="131"/>
    <x v="119"/>
  </r>
  <r>
    <x v="2"/>
    <d v="2023-03-27T00:00:00"/>
    <s v="Bill"/>
    <n v="1038"/>
    <x v="33"/>
    <d v="2023-04-10T00:00:00"/>
    <n v="103"/>
    <x v="0"/>
    <n v="9842.39"/>
    <x v="132"/>
    <x v="120"/>
  </r>
  <r>
    <x v="2"/>
    <d v="2023-03-27T00:00:00"/>
    <s v="Bill"/>
    <n v="1035"/>
    <x v="33"/>
    <d v="2023-04-10T00:00:00"/>
    <n v="103"/>
    <x v="0"/>
    <n v="7322.39"/>
    <x v="133"/>
    <x v="121"/>
  </r>
  <r>
    <x v="2"/>
    <d v="2023-04-29T00:00:00"/>
    <s v="Bill"/>
    <n v="230413"/>
    <x v="2"/>
    <d v="2023-04-29T00:00:00"/>
    <n v="84"/>
    <x v="1"/>
    <n v="250"/>
    <x v="134"/>
    <x v="9"/>
  </r>
  <r>
    <x v="3"/>
    <d v="2021-06-30T00:00:00"/>
    <s v="Bill"/>
    <n v="17080"/>
    <x v="8"/>
    <d v="2021-07-10T00:00:00"/>
    <n v="742"/>
    <x v="0"/>
    <n v="36081.56"/>
    <x v="135"/>
    <x v="122"/>
  </r>
  <r>
    <x v="3"/>
    <d v="2021-07-22T00:00:00"/>
    <s v="Bill"/>
    <n v="17084"/>
    <x v="8"/>
    <d v="2021-07-22T00:00:00"/>
    <n v="730"/>
    <x v="0"/>
    <n v="1576.76"/>
    <x v="136"/>
    <x v="123"/>
  </r>
  <r>
    <x v="3"/>
    <d v="2021-08-13T00:00:00"/>
    <s v="Bill"/>
    <n v="17104"/>
    <x v="8"/>
    <d v="2021-08-23T00:00:00"/>
    <n v="698"/>
    <x v="0"/>
    <n v="12500.78"/>
    <x v="137"/>
    <x v="124"/>
  </r>
  <r>
    <x v="3"/>
    <d v="2022-01-31T00:00:00"/>
    <s v="Bill"/>
    <n v="17222"/>
    <x v="8"/>
    <d v="2022-01-31T00:00:00"/>
    <n v="537"/>
    <x v="0"/>
    <n v="4250"/>
    <x v="20"/>
    <x v="20"/>
  </r>
  <r>
    <x v="3"/>
    <d v="2022-04-06T00:00:00"/>
    <s v="Bill"/>
    <n v="17263"/>
    <x v="8"/>
    <d v="2022-04-06T00:00:00"/>
    <n v="472"/>
    <x v="0"/>
    <n v="3187.5"/>
    <x v="138"/>
    <x v="125"/>
  </r>
  <r>
    <x v="3"/>
    <d v="2022-05-24T00:00:00"/>
    <s v="Bill"/>
    <n v="17301"/>
    <x v="8"/>
    <d v="2022-05-24T00:00:00"/>
    <n v="424"/>
    <x v="0"/>
    <n v="2350.7800000000002"/>
    <x v="139"/>
    <x v="126"/>
  </r>
  <r>
    <x v="3"/>
    <d v="2022-07-27T00:00:00"/>
    <s v="Bill"/>
    <n v="17324"/>
    <x v="8"/>
    <d v="2022-07-27T00:00:00"/>
    <n v="360"/>
    <x v="0"/>
    <n v="362.5"/>
    <x v="140"/>
    <x v="127"/>
  </r>
  <r>
    <x v="3"/>
    <d v="2022-10-12T00:00:00"/>
    <s v="Bill"/>
    <n v="2944"/>
    <x v="20"/>
    <d v="2022-10-12T00:00:00"/>
    <n v="283"/>
    <x v="0"/>
    <n v="2325"/>
    <x v="141"/>
    <x v="128"/>
  </r>
  <r>
    <x v="3"/>
    <d v="2022-11-02T00:00:00"/>
    <s v="Bill"/>
    <n v="17396"/>
    <x v="8"/>
    <d v="2022-11-12T00:00:00"/>
    <n v="252"/>
    <x v="0"/>
    <n v="750"/>
    <x v="142"/>
    <x v="129"/>
  </r>
  <r>
    <x v="3"/>
    <d v="2022-11-16T00:00:00"/>
    <s v="Bill"/>
    <n v="1164"/>
    <x v="40"/>
    <d v="2022-11-16T00:00:00"/>
    <n v="248"/>
    <x v="0"/>
    <n v="9125"/>
    <x v="143"/>
    <x v="130"/>
  </r>
  <r>
    <x v="3"/>
    <d v="2022-12-31T00:00:00"/>
    <s v="Journal Entry"/>
    <s v="Adj_Engineer&amp;Builder"/>
    <x v="41"/>
    <d v="2022-12-31T00:00:00"/>
    <n v="203"/>
    <x v="0"/>
    <n v="77179.850000000006"/>
    <x v="78"/>
    <x v="78"/>
  </r>
  <r>
    <x v="3"/>
    <d v="2023-01-11T00:00:00"/>
    <s v="Bill"/>
    <n v="3151"/>
    <x v="20"/>
    <d v="2023-02-10T00:00:00"/>
    <n v="162"/>
    <x v="0"/>
    <n v="925"/>
    <x v="144"/>
    <x v="131"/>
  </r>
  <r>
    <x v="3"/>
    <d v="2023-03-27T00:00:00"/>
    <s v="Bill"/>
    <n v="1040"/>
    <x v="33"/>
    <d v="2023-04-10T00:00:00"/>
    <n v="103"/>
    <x v="0"/>
    <n v="7112.39"/>
    <x v="145"/>
    <x v="132"/>
  </r>
  <r>
    <x v="3"/>
    <d v="2023-04-14T00:00:00"/>
    <s v="Bill"/>
    <s v="CC030227"/>
    <x v="34"/>
    <d v="2023-04-14T00:00:00"/>
    <n v="99"/>
    <x v="0"/>
    <n v="1516"/>
    <x v="110"/>
    <x v="110"/>
  </r>
  <r>
    <x v="3"/>
    <d v="2023-03-22T00:00:00"/>
    <s v="Bill"/>
    <s v="INV-00019615"/>
    <x v="8"/>
    <d v="2023-04-21T00:00:00"/>
    <n v="92"/>
    <x v="0"/>
    <n v="200"/>
    <x v="74"/>
    <x v="74"/>
  </r>
  <r>
    <x v="3"/>
    <d v="2023-03-30T00:00:00"/>
    <s v="Bill"/>
    <n v="466"/>
    <x v="42"/>
    <d v="2023-04-30T00:00:00"/>
    <n v="83"/>
    <x v="1"/>
    <n v="515291.08"/>
    <x v="146"/>
    <x v="9"/>
  </r>
  <r>
    <x v="3"/>
    <d v="2023-04-30T00:00:00"/>
    <s v="Bill"/>
    <s v="Estimate#7"/>
    <x v="11"/>
    <d v="2023-04-30T00:00:00"/>
    <n v="83"/>
    <x v="1"/>
    <n v="92580.93"/>
    <x v="147"/>
    <x v="9"/>
  </r>
  <r>
    <x v="4"/>
    <d v="2022-01-20T00:00:00"/>
    <s v="Bill"/>
    <n v="37543"/>
    <x v="43"/>
    <d v="2022-01-20T00:00:00"/>
    <n v="548"/>
    <x v="0"/>
    <n v="11746.8"/>
    <x v="148"/>
    <x v="133"/>
  </r>
  <r>
    <x v="4"/>
    <d v="2022-06-10T00:00:00"/>
    <s v="Bill"/>
    <s v="AC893374"/>
    <x v="9"/>
    <d v="2022-06-10T00:00:00"/>
    <n v="407"/>
    <x v="0"/>
    <n v="350"/>
    <x v="41"/>
    <x v="41"/>
  </r>
  <r>
    <x v="4"/>
    <d v="2022-07-15T00:00:00"/>
    <s v="Bill"/>
    <n v="2987141"/>
    <x v="44"/>
    <d v="2022-07-15T00:00:00"/>
    <n v="372"/>
    <x v="0"/>
    <n v="120"/>
    <x v="149"/>
    <x v="134"/>
  </r>
  <r>
    <x v="4"/>
    <d v="2022-07-15T00:00:00"/>
    <s v="Bill"/>
    <n v="2987142"/>
    <x v="44"/>
    <d v="2022-07-15T00:00:00"/>
    <n v="372"/>
    <x v="0"/>
    <n v="120"/>
    <x v="149"/>
    <x v="134"/>
  </r>
  <r>
    <x v="4"/>
    <d v="2022-07-15T00:00:00"/>
    <s v="Bill"/>
    <n v="2987143"/>
    <x v="44"/>
    <d v="2022-07-15T00:00:00"/>
    <n v="372"/>
    <x v="0"/>
    <n v="120"/>
    <x v="149"/>
    <x v="134"/>
  </r>
  <r>
    <x v="4"/>
    <d v="2022-07-15T00:00:00"/>
    <s v="Bill"/>
    <n v="2987144"/>
    <x v="44"/>
    <d v="2022-07-15T00:00:00"/>
    <n v="372"/>
    <x v="0"/>
    <n v="120"/>
    <x v="149"/>
    <x v="134"/>
  </r>
  <r>
    <x v="4"/>
    <d v="2022-07-15T00:00:00"/>
    <s v="Bill"/>
    <n v="2987146"/>
    <x v="44"/>
    <d v="2022-07-15T00:00:00"/>
    <n v="372"/>
    <x v="0"/>
    <n v="120"/>
    <x v="149"/>
    <x v="134"/>
  </r>
  <r>
    <x v="4"/>
    <d v="2022-07-15T00:00:00"/>
    <s v="Bill"/>
    <n v="2987147"/>
    <x v="44"/>
    <d v="2022-07-15T00:00:00"/>
    <n v="372"/>
    <x v="0"/>
    <n v="120"/>
    <x v="149"/>
    <x v="134"/>
  </r>
  <r>
    <x v="4"/>
    <d v="2022-07-22T00:00:00"/>
    <s v="Bill"/>
    <n v="615962"/>
    <x v="14"/>
    <d v="2022-07-22T00:00:00"/>
    <n v="365"/>
    <x v="0"/>
    <n v="1650"/>
    <x v="150"/>
    <x v="135"/>
  </r>
  <r>
    <x v="4"/>
    <d v="2022-07-22T00:00:00"/>
    <s v="Bill"/>
    <n v="615841"/>
    <x v="14"/>
    <d v="2022-07-22T00:00:00"/>
    <n v="365"/>
    <x v="0"/>
    <n v="1200"/>
    <x v="151"/>
    <x v="136"/>
  </r>
  <r>
    <x v="4"/>
    <d v="2022-07-28T00:00:00"/>
    <s v="Bill"/>
    <n v="40641"/>
    <x v="0"/>
    <d v="2022-07-28T00:00:00"/>
    <n v="359"/>
    <x v="0"/>
    <n v="300"/>
    <x v="1"/>
    <x v="1"/>
  </r>
  <r>
    <x v="4"/>
    <d v="2022-08-04T00:00:00"/>
    <s v="Bill"/>
    <n v="617250"/>
    <x v="14"/>
    <d v="2022-08-04T00:00:00"/>
    <n v="352"/>
    <x v="0"/>
    <n v="1492.2"/>
    <x v="152"/>
    <x v="137"/>
  </r>
  <r>
    <x v="4"/>
    <d v="2022-08-04T00:00:00"/>
    <s v="Bill"/>
    <n v="617249"/>
    <x v="14"/>
    <d v="2022-08-04T00:00:00"/>
    <n v="352"/>
    <x v="0"/>
    <n v="1236"/>
    <x v="153"/>
    <x v="138"/>
  </r>
  <r>
    <x v="4"/>
    <d v="2022-08-17T00:00:00"/>
    <s v="Bill"/>
    <n v="3016316"/>
    <x v="44"/>
    <d v="2022-08-17T00:00:00"/>
    <n v="339"/>
    <x v="0"/>
    <n v="105"/>
    <x v="154"/>
    <x v="139"/>
  </r>
  <r>
    <x v="4"/>
    <d v="2022-08-17T00:00:00"/>
    <s v="Bill"/>
    <n v="3016320"/>
    <x v="44"/>
    <d v="2022-08-17T00:00:00"/>
    <n v="339"/>
    <x v="0"/>
    <n v="105"/>
    <x v="154"/>
    <x v="139"/>
  </r>
  <r>
    <x v="4"/>
    <d v="2022-08-17T00:00:00"/>
    <s v="Bill"/>
    <n v="3016324"/>
    <x v="44"/>
    <d v="2022-08-17T00:00:00"/>
    <n v="339"/>
    <x v="0"/>
    <n v="105"/>
    <x v="154"/>
    <x v="139"/>
  </r>
  <r>
    <x v="4"/>
    <d v="2022-08-17T00:00:00"/>
    <s v="Bill"/>
    <n v="3016326"/>
    <x v="44"/>
    <d v="2022-08-17T00:00:00"/>
    <n v="339"/>
    <x v="0"/>
    <n v="105"/>
    <x v="154"/>
    <x v="139"/>
  </r>
  <r>
    <x v="4"/>
    <d v="2022-08-17T00:00:00"/>
    <s v="Bill"/>
    <n v="3016330"/>
    <x v="44"/>
    <d v="2022-08-17T00:00:00"/>
    <n v="339"/>
    <x v="0"/>
    <n v="105"/>
    <x v="154"/>
    <x v="139"/>
  </r>
  <r>
    <x v="4"/>
    <d v="2022-08-09T00:00:00"/>
    <s v="Bill"/>
    <n v="6816"/>
    <x v="45"/>
    <d v="2022-08-25T00:00:00"/>
    <n v="331"/>
    <x v="0"/>
    <n v="549"/>
    <x v="155"/>
    <x v="140"/>
  </r>
  <r>
    <x v="4"/>
    <d v="2022-08-29T00:00:00"/>
    <s v="Bill"/>
    <n v="41076"/>
    <x v="0"/>
    <d v="2022-08-29T00:00:00"/>
    <n v="327"/>
    <x v="0"/>
    <n v="375"/>
    <x v="156"/>
    <x v="141"/>
  </r>
  <r>
    <x v="4"/>
    <d v="2022-08-26T00:00:00"/>
    <s v="Bill"/>
    <n v="85249"/>
    <x v="10"/>
    <d v="2022-09-06T00:00:00"/>
    <n v="319"/>
    <x v="0"/>
    <n v="4222.47"/>
    <x v="157"/>
    <x v="142"/>
  </r>
  <r>
    <x v="4"/>
    <d v="2022-09-06T00:00:00"/>
    <s v="Bill"/>
    <s v="INV#123553"/>
    <x v="46"/>
    <d v="2022-09-06T00:00:00"/>
    <n v="319"/>
    <x v="0"/>
    <n v="4178.88"/>
    <x v="158"/>
    <x v="143"/>
  </r>
  <r>
    <x v="4"/>
    <d v="2022-09-06T00:00:00"/>
    <s v="Bill"/>
    <s v="INV#123557"/>
    <x v="46"/>
    <d v="2022-09-06T00:00:00"/>
    <n v="319"/>
    <x v="0"/>
    <n v="3688.5"/>
    <x v="159"/>
    <x v="144"/>
  </r>
  <r>
    <x v="4"/>
    <d v="2022-09-09T00:00:00"/>
    <s v="Bill"/>
    <s v="INV#124387"/>
    <x v="46"/>
    <d v="2022-09-09T00:00:00"/>
    <n v="316"/>
    <x v="0"/>
    <n v="2568.12"/>
    <x v="160"/>
    <x v="145"/>
  </r>
  <r>
    <x v="4"/>
    <d v="2022-09-09T00:00:00"/>
    <s v="Bill"/>
    <n v="3042550"/>
    <x v="44"/>
    <d v="2022-09-09T00:00:00"/>
    <n v="316"/>
    <x v="0"/>
    <n v="200"/>
    <x v="74"/>
    <x v="74"/>
  </r>
  <r>
    <x v="4"/>
    <d v="2022-09-09T00:00:00"/>
    <s v="Bill"/>
    <n v="3042548"/>
    <x v="44"/>
    <d v="2022-09-09T00:00:00"/>
    <n v="316"/>
    <x v="0"/>
    <n v="200"/>
    <x v="74"/>
    <x v="74"/>
  </r>
  <r>
    <x v="4"/>
    <d v="2022-08-26T00:00:00"/>
    <s v="Bill"/>
    <n v="85250"/>
    <x v="10"/>
    <d v="2022-09-10T00:00:00"/>
    <n v="315"/>
    <x v="0"/>
    <n v="4260.34"/>
    <x v="161"/>
    <x v="146"/>
  </r>
  <r>
    <x v="4"/>
    <d v="2022-08-26T00:00:00"/>
    <s v="Bill"/>
    <n v="85248"/>
    <x v="10"/>
    <d v="2022-09-10T00:00:00"/>
    <n v="315"/>
    <x v="0"/>
    <n v="4222.47"/>
    <x v="157"/>
    <x v="142"/>
  </r>
  <r>
    <x v="4"/>
    <d v="2022-09-12T00:00:00"/>
    <s v="Bill"/>
    <s v="INV# 124997"/>
    <x v="46"/>
    <d v="2022-09-12T00:00:00"/>
    <n v="313"/>
    <x v="0"/>
    <n v="2137.8200000000002"/>
    <x v="162"/>
    <x v="147"/>
  </r>
  <r>
    <x v="4"/>
    <d v="2022-09-13T00:00:00"/>
    <s v="Bill"/>
    <n v="6926"/>
    <x v="45"/>
    <d v="2022-09-13T00:00:00"/>
    <n v="312"/>
    <x v="0"/>
    <n v="240"/>
    <x v="163"/>
    <x v="148"/>
  </r>
  <r>
    <x v="4"/>
    <d v="2022-09-14T00:00:00"/>
    <s v="Bill"/>
    <s v="ES696997"/>
    <x v="9"/>
    <d v="2022-09-14T00:00:00"/>
    <n v="311"/>
    <x v="0"/>
    <n v="4221.75"/>
    <x v="164"/>
    <x v="149"/>
  </r>
  <r>
    <x v="4"/>
    <d v="2022-09-13T00:00:00"/>
    <s v="Bill"/>
    <n v="6925"/>
    <x v="45"/>
    <d v="2022-09-23T00:00:00"/>
    <n v="302"/>
    <x v="0"/>
    <n v="240"/>
    <x v="163"/>
    <x v="148"/>
  </r>
  <r>
    <x v="4"/>
    <d v="2022-09-13T00:00:00"/>
    <s v="Bill"/>
    <n v="6924"/>
    <x v="45"/>
    <d v="2022-09-23T00:00:00"/>
    <n v="302"/>
    <x v="0"/>
    <n v="240"/>
    <x v="163"/>
    <x v="148"/>
  </r>
  <r>
    <x v="4"/>
    <d v="2022-09-13T00:00:00"/>
    <s v="Bill"/>
    <n v="6923"/>
    <x v="45"/>
    <d v="2022-09-23T00:00:00"/>
    <n v="302"/>
    <x v="0"/>
    <n v="240"/>
    <x v="163"/>
    <x v="148"/>
  </r>
  <r>
    <x v="4"/>
    <d v="2022-09-13T00:00:00"/>
    <s v="Bill"/>
    <n v="6922"/>
    <x v="45"/>
    <d v="2022-09-23T00:00:00"/>
    <n v="302"/>
    <x v="0"/>
    <n v="240"/>
    <x v="163"/>
    <x v="148"/>
  </r>
  <r>
    <x v="4"/>
    <d v="2022-09-23T00:00:00"/>
    <s v="Bill"/>
    <n v="6946"/>
    <x v="45"/>
    <d v="2022-09-23T00:00:00"/>
    <n v="302"/>
    <x v="0"/>
    <n v="240"/>
    <x v="163"/>
    <x v="148"/>
  </r>
  <r>
    <x v="4"/>
    <d v="2022-09-23T00:00:00"/>
    <s v="Bill"/>
    <n v="6945"/>
    <x v="45"/>
    <d v="2022-09-23T00:00:00"/>
    <n v="302"/>
    <x v="0"/>
    <n v="240"/>
    <x v="163"/>
    <x v="148"/>
  </r>
  <r>
    <x v="4"/>
    <d v="2022-09-23T00:00:00"/>
    <s v="Bill"/>
    <n v="6944"/>
    <x v="45"/>
    <d v="2022-09-23T00:00:00"/>
    <n v="302"/>
    <x v="0"/>
    <n v="240"/>
    <x v="163"/>
    <x v="148"/>
  </r>
  <r>
    <x v="4"/>
    <d v="2022-09-23T00:00:00"/>
    <s v="Bill"/>
    <n v="6943"/>
    <x v="45"/>
    <d v="2022-09-23T00:00:00"/>
    <n v="302"/>
    <x v="0"/>
    <n v="240"/>
    <x v="163"/>
    <x v="148"/>
  </r>
  <r>
    <x v="4"/>
    <d v="2022-09-23T00:00:00"/>
    <s v="Bill"/>
    <n v="6948"/>
    <x v="45"/>
    <d v="2022-09-26T00:00:00"/>
    <n v="299"/>
    <x v="0"/>
    <n v="240"/>
    <x v="163"/>
    <x v="148"/>
  </r>
  <r>
    <x v="4"/>
    <d v="2022-09-30T00:00:00"/>
    <s v="Bill"/>
    <s v="AC898029"/>
    <x v="9"/>
    <d v="2022-09-30T00:00:00"/>
    <n v="295"/>
    <x v="0"/>
    <n v="350"/>
    <x v="41"/>
    <x v="41"/>
  </r>
  <r>
    <x v="4"/>
    <d v="2022-10-06T00:00:00"/>
    <s v="Bill"/>
    <n v="661174"/>
    <x v="47"/>
    <d v="2022-10-06T00:00:00"/>
    <n v="289"/>
    <x v="0"/>
    <n v="5680"/>
    <x v="165"/>
    <x v="150"/>
  </r>
  <r>
    <x v="4"/>
    <d v="2022-10-06T00:00:00"/>
    <s v="Bill"/>
    <n v="661176"/>
    <x v="47"/>
    <d v="2022-10-06T00:00:00"/>
    <n v="289"/>
    <x v="0"/>
    <n v="5680"/>
    <x v="165"/>
    <x v="150"/>
  </r>
  <r>
    <x v="4"/>
    <d v="2022-10-06T00:00:00"/>
    <s v="Bill"/>
    <n v="661175"/>
    <x v="47"/>
    <d v="2022-10-06T00:00:00"/>
    <n v="289"/>
    <x v="0"/>
    <n v="350"/>
    <x v="41"/>
    <x v="41"/>
  </r>
  <r>
    <x v="4"/>
    <d v="2022-10-06T00:00:00"/>
    <s v="Bill"/>
    <n v="661177"/>
    <x v="47"/>
    <d v="2022-10-06T00:00:00"/>
    <n v="289"/>
    <x v="0"/>
    <n v="350"/>
    <x v="41"/>
    <x v="41"/>
  </r>
  <r>
    <x v="4"/>
    <d v="2022-10-06T00:00:00"/>
    <s v="Bill"/>
    <n v="661178"/>
    <x v="47"/>
    <d v="2022-10-06T00:00:00"/>
    <n v="289"/>
    <x v="0"/>
    <n v="70"/>
    <x v="104"/>
    <x v="104"/>
  </r>
  <r>
    <x v="4"/>
    <d v="2022-10-06T00:00:00"/>
    <s v="Bill"/>
    <n v="661179"/>
    <x v="47"/>
    <d v="2022-10-06T00:00:00"/>
    <n v="289"/>
    <x v="0"/>
    <n v="70"/>
    <x v="104"/>
    <x v="104"/>
  </r>
  <r>
    <x v="4"/>
    <d v="2022-10-06T00:00:00"/>
    <s v="Bill"/>
    <n v="661180"/>
    <x v="47"/>
    <d v="2022-10-06T00:00:00"/>
    <n v="289"/>
    <x v="0"/>
    <n v="70"/>
    <x v="104"/>
    <x v="104"/>
  </r>
  <r>
    <x v="4"/>
    <d v="2022-10-06T00:00:00"/>
    <s v="Bill"/>
    <n v="661181"/>
    <x v="47"/>
    <d v="2022-10-06T00:00:00"/>
    <n v="289"/>
    <x v="0"/>
    <n v="70"/>
    <x v="104"/>
    <x v="104"/>
  </r>
  <r>
    <x v="4"/>
    <d v="2022-10-06T00:00:00"/>
    <s v="Bill"/>
    <n v="661182"/>
    <x v="47"/>
    <d v="2022-10-06T00:00:00"/>
    <n v="289"/>
    <x v="0"/>
    <n v="70"/>
    <x v="104"/>
    <x v="104"/>
  </r>
  <r>
    <x v="4"/>
    <d v="2022-09-06T00:00:00"/>
    <s v="Bill"/>
    <s v="INV123560"/>
    <x v="46"/>
    <d v="2022-10-10T00:00:00"/>
    <n v="285"/>
    <x v="0"/>
    <n v="3698.79"/>
    <x v="166"/>
    <x v="151"/>
  </r>
  <r>
    <x v="4"/>
    <d v="2022-09-15T00:00:00"/>
    <s v="Bill"/>
    <s v="INV125572"/>
    <x v="46"/>
    <d v="2022-10-10T00:00:00"/>
    <n v="285"/>
    <x v="0"/>
    <n v="306.35000000000002"/>
    <x v="167"/>
    <x v="152"/>
  </r>
  <r>
    <x v="4"/>
    <d v="2022-10-11T00:00:00"/>
    <s v="Bill"/>
    <n v="661968"/>
    <x v="47"/>
    <d v="2022-10-11T00:00:00"/>
    <n v="284"/>
    <x v="0"/>
    <n v="4270"/>
    <x v="168"/>
    <x v="153"/>
  </r>
  <r>
    <x v="4"/>
    <d v="2022-10-11T00:00:00"/>
    <s v="Bill"/>
    <n v="661969"/>
    <x v="47"/>
    <d v="2022-10-11T00:00:00"/>
    <n v="284"/>
    <x v="0"/>
    <n v="4270"/>
    <x v="168"/>
    <x v="153"/>
  </r>
  <r>
    <x v="4"/>
    <d v="2022-10-18T00:00:00"/>
    <s v="Bill"/>
    <n v="36746549"/>
    <x v="48"/>
    <d v="2022-10-18T00:00:00"/>
    <n v="277"/>
    <x v="0"/>
    <n v="3467.25"/>
    <x v="169"/>
    <x v="154"/>
  </r>
  <r>
    <x v="4"/>
    <d v="2022-10-18T00:00:00"/>
    <s v="Bill"/>
    <n v="624549"/>
    <x v="14"/>
    <d v="2022-10-18T00:00:00"/>
    <n v="277"/>
    <x v="0"/>
    <n v="750"/>
    <x v="142"/>
    <x v="129"/>
  </r>
  <r>
    <x v="4"/>
    <d v="2022-10-20T00:00:00"/>
    <s v="Bill"/>
    <n v="105887"/>
    <x v="17"/>
    <d v="2022-10-20T00:00:00"/>
    <n v="275"/>
    <x v="0"/>
    <n v="300"/>
    <x v="1"/>
    <x v="1"/>
  </r>
  <r>
    <x v="4"/>
    <d v="2022-10-20T00:00:00"/>
    <s v="Bill"/>
    <n v="105888"/>
    <x v="17"/>
    <d v="2022-10-20T00:00:00"/>
    <n v="275"/>
    <x v="0"/>
    <n v="300"/>
    <x v="1"/>
    <x v="1"/>
  </r>
  <r>
    <x v="4"/>
    <d v="2022-10-20T00:00:00"/>
    <s v="Bill"/>
    <n v="105889"/>
    <x v="17"/>
    <d v="2022-10-20T00:00:00"/>
    <n v="275"/>
    <x v="0"/>
    <n v="300"/>
    <x v="1"/>
    <x v="1"/>
  </r>
  <r>
    <x v="4"/>
    <d v="2022-10-20T00:00:00"/>
    <s v="Bill"/>
    <n v="105890"/>
    <x v="17"/>
    <d v="2022-10-20T00:00:00"/>
    <n v="275"/>
    <x v="0"/>
    <n v="300"/>
    <x v="1"/>
    <x v="1"/>
  </r>
  <r>
    <x v="4"/>
    <d v="2022-10-20T00:00:00"/>
    <s v="Bill"/>
    <n v="105891"/>
    <x v="17"/>
    <d v="2022-10-20T00:00:00"/>
    <n v="275"/>
    <x v="0"/>
    <n v="300"/>
    <x v="1"/>
    <x v="1"/>
  </r>
  <r>
    <x v="4"/>
    <d v="2022-10-21T00:00:00"/>
    <s v="Bill"/>
    <n v="36748384"/>
    <x v="48"/>
    <d v="2022-10-21T00:00:00"/>
    <n v="274"/>
    <x v="0"/>
    <n v="2286.75"/>
    <x v="170"/>
    <x v="155"/>
  </r>
  <r>
    <x v="4"/>
    <d v="2022-10-21T00:00:00"/>
    <s v="Bill"/>
    <n v="36748385"/>
    <x v="48"/>
    <d v="2022-10-21T00:00:00"/>
    <n v="274"/>
    <x v="0"/>
    <n v="1977.3"/>
    <x v="171"/>
    <x v="156"/>
  </r>
  <r>
    <x v="4"/>
    <d v="2022-10-24T00:00:00"/>
    <s v="Bill"/>
    <n v="36748967"/>
    <x v="48"/>
    <d v="2022-10-24T00:00:00"/>
    <n v="271"/>
    <x v="0"/>
    <n v="10280"/>
    <x v="172"/>
    <x v="157"/>
  </r>
  <r>
    <x v="4"/>
    <d v="2022-10-28T00:00:00"/>
    <s v="Bill"/>
    <n v="59131"/>
    <x v="21"/>
    <d v="2022-10-28T00:00:00"/>
    <n v="267"/>
    <x v="0"/>
    <n v="182.88"/>
    <x v="173"/>
    <x v="158"/>
  </r>
  <r>
    <x v="4"/>
    <d v="2022-10-29T00:00:00"/>
    <s v="Bill"/>
    <n v="41930"/>
    <x v="0"/>
    <d v="2022-10-29T00:00:00"/>
    <n v="266"/>
    <x v="0"/>
    <n v="375"/>
    <x v="156"/>
    <x v="141"/>
  </r>
  <r>
    <x v="4"/>
    <d v="2022-10-29T00:00:00"/>
    <s v="Bill"/>
    <n v="43085"/>
    <x v="0"/>
    <d v="2022-10-29T00:00:00"/>
    <n v="266"/>
    <x v="0"/>
    <n v="300"/>
    <x v="1"/>
    <x v="1"/>
  </r>
  <r>
    <x v="4"/>
    <d v="2022-10-31T00:00:00"/>
    <s v="Bill"/>
    <n v="106831"/>
    <x v="17"/>
    <d v="2022-10-31T00:00:00"/>
    <n v="264"/>
    <x v="0"/>
    <n v="5793.6"/>
    <x v="174"/>
    <x v="159"/>
  </r>
  <r>
    <x v="4"/>
    <d v="2022-10-31T00:00:00"/>
    <s v="Bill"/>
    <n v="667484"/>
    <x v="47"/>
    <d v="2022-10-31T00:00:00"/>
    <n v="264"/>
    <x v="0"/>
    <n v="3660"/>
    <x v="175"/>
    <x v="160"/>
  </r>
  <r>
    <x v="4"/>
    <d v="2022-10-31T00:00:00"/>
    <s v="Bill"/>
    <n v="36754264"/>
    <x v="48"/>
    <d v="2022-10-31T00:00:00"/>
    <n v="264"/>
    <x v="0"/>
    <n v="893"/>
    <x v="176"/>
    <x v="161"/>
  </r>
  <r>
    <x v="4"/>
    <d v="2022-10-31T00:00:00"/>
    <s v="Bill"/>
    <n v="667471"/>
    <x v="47"/>
    <d v="2022-10-31T00:00:00"/>
    <n v="264"/>
    <x v="0"/>
    <n v="325"/>
    <x v="177"/>
    <x v="162"/>
  </r>
  <r>
    <x v="4"/>
    <d v="2022-10-31T00:00:00"/>
    <s v="Bill"/>
    <n v="667473"/>
    <x v="47"/>
    <d v="2022-10-31T00:00:00"/>
    <n v="264"/>
    <x v="0"/>
    <n v="325"/>
    <x v="177"/>
    <x v="162"/>
  </r>
  <r>
    <x v="4"/>
    <d v="2022-11-02T00:00:00"/>
    <s v="Bill"/>
    <n v="3003"/>
    <x v="20"/>
    <d v="2022-11-02T00:00:00"/>
    <n v="262"/>
    <x v="0"/>
    <n v="930.5"/>
    <x v="178"/>
    <x v="163"/>
  </r>
  <r>
    <x v="4"/>
    <d v="2022-11-04T00:00:00"/>
    <s v="Bill"/>
    <n v="106833"/>
    <x v="17"/>
    <d v="2022-11-04T00:00:00"/>
    <n v="260"/>
    <x v="0"/>
    <n v="5793.6"/>
    <x v="174"/>
    <x v="159"/>
  </r>
  <r>
    <x v="4"/>
    <d v="2022-11-04T00:00:00"/>
    <s v="Bill"/>
    <n v="106835"/>
    <x v="17"/>
    <d v="2022-11-04T00:00:00"/>
    <n v="260"/>
    <x v="0"/>
    <n v="5793.6"/>
    <x v="174"/>
    <x v="159"/>
  </r>
  <r>
    <x v="4"/>
    <d v="2022-11-04T00:00:00"/>
    <s v="Bill"/>
    <n v="106849"/>
    <x v="17"/>
    <d v="2022-11-04T00:00:00"/>
    <n v="260"/>
    <x v="0"/>
    <n v="5793.6"/>
    <x v="174"/>
    <x v="159"/>
  </r>
  <r>
    <x v="4"/>
    <d v="2022-11-04T00:00:00"/>
    <s v="Bill"/>
    <n v="106837"/>
    <x v="17"/>
    <d v="2022-11-04T00:00:00"/>
    <n v="260"/>
    <x v="0"/>
    <n v="5793.6"/>
    <x v="174"/>
    <x v="159"/>
  </r>
  <r>
    <x v="4"/>
    <d v="2022-11-04T00:00:00"/>
    <s v="Bill"/>
    <n v="667470"/>
    <x v="47"/>
    <d v="2022-11-04T00:00:00"/>
    <n v="260"/>
    <x v="0"/>
    <n v="325"/>
    <x v="177"/>
    <x v="162"/>
  </r>
  <r>
    <x v="4"/>
    <d v="2022-11-04T00:00:00"/>
    <s v="Bill"/>
    <n v="106851"/>
    <x v="17"/>
    <d v="2022-11-04T00:00:00"/>
    <n v="260"/>
    <x v="0"/>
    <n v="111.6"/>
    <x v="179"/>
    <x v="164"/>
  </r>
  <r>
    <x v="4"/>
    <d v="2022-11-04T00:00:00"/>
    <s v="Bill"/>
    <n v="106832"/>
    <x v="17"/>
    <d v="2022-11-04T00:00:00"/>
    <n v="260"/>
    <x v="0"/>
    <n v="84"/>
    <x v="180"/>
    <x v="165"/>
  </r>
  <r>
    <x v="4"/>
    <d v="2022-11-04T00:00:00"/>
    <s v="Bill"/>
    <n v="106834"/>
    <x v="17"/>
    <d v="2022-11-04T00:00:00"/>
    <n v="260"/>
    <x v="0"/>
    <n v="84"/>
    <x v="180"/>
    <x v="165"/>
  </r>
  <r>
    <x v="4"/>
    <d v="2022-11-04T00:00:00"/>
    <s v="Bill"/>
    <n v="106836"/>
    <x v="17"/>
    <d v="2022-11-04T00:00:00"/>
    <n v="260"/>
    <x v="0"/>
    <n v="84"/>
    <x v="180"/>
    <x v="165"/>
  </r>
  <r>
    <x v="4"/>
    <d v="2022-11-04T00:00:00"/>
    <s v="Bill"/>
    <n v="106838"/>
    <x v="17"/>
    <d v="2022-11-04T00:00:00"/>
    <n v="260"/>
    <x v="0"/>
    <n v="84"/>
    <x v="180"/>
    <x v="165"/>
  </r>
  <r>
    <x v="4"/>
    <d v="2022-11-04T00:00:00"/>
    <s v="Bill"/>
    <n v="106850"/>
    <x v="17"/>
    <d v="2022-11-04T00:00:00"/>
    <n v="260"/>
    <x v="0"/>
    <n v="84"/>
    <x v="180"/>
    <x v="165"/>
  </r>
  <r>
    <x v="4"/>
    <d v="2022-11-08T00:00:00"/>
    <s v="Bill"/>
    <n v="106956"/>
    <x v="17"/>
    <d v="2022-11-08T00:00:00"/>
    <n v="256"/>
    <x v="0"/>
    <n v="5905.2"/>
    <x v="181"/>
    <x v="166"/>
  </r>
  <r>
    <x v="4"/>
    <d v="2022-11-08T00:00:00"/>
    <s v="Bill"/>
    <n v="106957"/>
    <x v="17"/>
    <d v="2022-11-08T00:00:00"/>
    <n v="256"/>
    <x v="0"/>
    <n v="84"/>
    <x v="180"/>
    <x v="165"/>
  </r>
  <r>
    <x v="4"/>
    <d v="2022-10-25T00:00:00"/>
    <s v="Bill"/>
    <s v="INV-MP3326"/>
    <x v="49"/>
    <d v="2022-11-09T00:00:00"/>
    <n v="255"/>
    <x v="0"/>
    <n v="265"/>
    <x v="182"/>
    <x v="167"/>
  </r>
  <r>
    <x v="4"/>
    <d v="2022-11-09T00:00:00"/>
    <s v="Bill"/>
    <n v="36758569"/>
    <x v="48"/>
    <d v="2022-11-09T00:00:00"/>
    <n v="255"/>
    <x v="0"/>
    <n v="2089"/>
    <x v="183"/>
    <x v="168"/>
  </r>
  <r>
    <x v="4"/>
    <d v="2022-11-09T00:00:00"/>
    <s v="Bill"/>
    <n v="36758567"/>
    <x v="48"/>
    <d v="2022-11-09T00:00:00"/>
    <n v="255"/>
    <x v="0"/>
    <n v="2013.25"/>
    <x v="184"/>
    <x v="169"/>
  </r>
  <r>
    <x v="4"/>
    <d v="2022-11-09T00:00:00"/>
    <s v="Bill"/>
    <n v="36758568"/>
    <x v="48"/>
    <d v="2022-11-09T00:00:00"/>
    <n v="255"/>
    <x v="0"/>
    <n v="1977.3"/>
    <x v="171"/>
    <x v="156"/>
  </r>
  <r>
    <x v="4"/>
    <d v="2022-11-09T00:00:00"/>
    <s v="Bill"/>
    <n v="36758570"/>
    <x v="48"/>
    <d v="2022-11-09T00:00:00"/>
    <n v="255"/>
    <x v="0"/>
    <n v="1350.05"/>
    <x v="185"/>
    <x v="170"/>
  </r>
  <r>
    <x v="4"/>
    <d v="2022-11-09T00:00:00"/>
    <s v="Bill"/>
    <s v="AC899750"/>
    <x v="9"/>
    <d v="2022-11-09T00:00:00"/>
    <n v="255"/>
    <x v="0"/>
    <n v="500"/>
    <x v="38"/>
    <x v="38"/>
  </r>
  <r>
    <x v="4"/>
    <d v="2022-10-11T00:00:00"/>
    <s v="Bill"/>
    <n v="91135"/>
    <x v="10"/>
    <d v="2022-11-10T00:00:00"/>
    <n v="254"/>
    <x v="0"/>
    <n v="147.44"/>
    <x v="51"/>
    <x v="51"/>
  </r>
  <r>
    <x v="4"/>
    <d v="2022-10-11T00:00:00"/>
    <s v="Bill"/>
    <n v="91136"/>
    <x v="10"/>
    <d v="2022-11-10T00:00:00"/>
    <n v="254"/>
    <x v="0"/>
    <n v="147.44"/>
    <x v="51"/>
    <x v="51"/>
  </r>
  <r>
    <x v="4"/>
    <d v="2022-10-11T00:00:00"/>
    <s v="Bill"/>
    <n v="91138"/>
    <x v="10"/>
    <d v="2022-11-10T00:00:00"/>
    <n v="254"/>
    <x v="0"/>
    <n v="147.44"/>
    <x v="51"/>
    <x v="51"/>
  </r>
  <r>
    <x v="4"/>
    <d v="2022-11-10T00:00:00"/>
    <s v="Bill"/>
    <s v="12619236RI(Paid viaCC"/>
    <x v="50"/>
    <d v="2022-11-10T00:00:00"/>
    <n v="254"/>
    <x v="0"/>
    <n v="10923.61"/>
    <x v="186"/>
    <x v="171"/>
  </r>
  <r>
    <x v="4"/>
    <d v="2022-11-12T00:00:00"/>
    <s v="Bill"/>
    <n v="36759552"/>
    <x v="48"/>
    <d v="2022-11-12T00:00:00"/>
    <n v="252"/>
    <x v="0"/>
    <n v="1959.3"/>
    <x v="187"/>
    <x v="172"/>
  </r>
  <r>
    <x v="4"/>
    <d v="2022-11-15T00:00:00"/>
    <s v="Bill"/>
    <n v="3103716"/>
    <x v="44"/>
    <d v="2022-11-15T00:00:00"/>
    <n v="249"/>
    <x v="0"/>
    <n v="6550"/>
    <x v="188"/>
    <x v="173"/>
  </r>
  <r>
    <x v="4"/>
    <d v="2022-11-15T00:00:00"/>
    <s v="Bill"/>
    <n v="670862"/>
    <x v="47"/>
    <d v="2022-11-15T00:00:00"/>
    <n v="249"/>
    <x v="0"/>
    <n v="5680"/>
    <x v="165"/>
    <x v="150"/>
  </r>
  <r>
    <x v="4"/>
    <d v="2022-11-15T00:00:00"/>
    <s v="Bill"/>
    <n v="670866"/>
    <x v="47"/>
    <d v="2022-11-15T00:00:00"/>
    <n v="249"/>
    <x v="0"/>
    <n v="5680"/>
    <x v="165"/>
    <x v="150"/>
  </r>
  <r>
    <x v="4"/>
    <d v="2022-11-15T00:00:00"/>
    <s v="Bill"/>
    <n v="88199"/>
    <x v="51"/>
    <d v="2022-11-15T00:00:00"/>
    <n v="249"/>
    <x v="0"/>
    <n v="5364.6"/>
    <x v="189"/>
    <x v="174"/>
  </r>
  <r>
    <x v="4"/>
    <d v="2022-11-15T00:00:00"/>
    <s v="Bill"/>
    <n v="108337"/>
    <x v="17"/>
    <d v="2022-11-15T00:00:00"/>
    <n v="249"/>
    <x v="0"/>
    <n v="3936.8"/>
    <x v="190"/>
    <x v="175"/>
  </r>
  <r>
    <x v="4"/>
    <d v="2022-11-15T00:00:00"/>
    <s v="Bill"/>
    <n v="108338"/>
    <x v="17"/>
    <d v="2022-11-15T00:00:00"/>
    <n v="249"/>
    <x v="0"/>
    <n v="3862.4"/>
    <x v="191"/>
    <x v="176"/>
  </r>
  <r>
    <x v="4"/>
    <d v="2022-11-15T00:00:00"/>
    <s v="Bill"/>
    <n v="108339"/>
    <x v="17"/>
    <d v="2022-11-15T00:00:00"/>
    <n v="249"/>
    <x v="0"/>
    <n v="3862.4"/>
    <x v="191"/>
    <x v="176"/>
  </r>
  <r>
    <x v="4"/>
    <d v="2022-11-15T00:00:00"/>
    <s v="Bill"/>
    <n v="108340"/>
    <x v="17"/>
    <d v="2022-11-15T00:00:00"/>
    <n v="249"/>
    <x v="0"/>
    <n v="3862.4"/>
    <x v="191"/>
    <x v="176"/>
  </r>
  <r>
    <x v="4"/>
    <d v="2022-11-15T00:00:00"/>
    <s v="Bill"/>
    <n v="670864"/>
    <x v="47"/>
    <d v="2022-11-15T00:00:00"/>
    <n v="249"/>
    <x v="0"/>
    <n v="350"/>
    <x v="41"/>
    <x v="41"/>
  </r>
  <r>
    <x v="4"/>
    <d v="2022-11-15T00:00:00"/>
    <s v="Bill"/>
    <n v="670867"/>
    <x v="47"/>
    <d v="2022-11-15T00:00:00"/>
    <n v="249"/>
    <x v="0"/>
    <n v="350"/>
    <x v="41"/>
    <x v="41"/>
  </r>
  <r>
    <x v="4"/>
    <d v="2022-11-16T00:00:00"/>
    <s v="Bill"/>
    <n v="3091125"/>
    <x v="44"/>
    <d v="2022-11-16T00:00:00"/>
    <n v="248"/>
    <x v="0"/>
    <n v="190"/>
    <x v="192"/>
    <x v="177"/>
  </r>
  <r>
    <x v="4"/>
    <d v="2022-11-16T00:00:00"/>
    <s v="Bill"/>
    <n v="89088017"/>
    <x v="52"/>
    <d v="2022-11-16T00:00:00"/>
    <n v="248"/>
    <x v="0"/>
    <n v="97.37"/>
    <x v="193"/>
    <x v="178"/>
  </r>
  <r>
    <x v="4"/>
    <d v="2022-11-17T00:00:00"/>
    <s v="Bill"/>
    <n v="36762463"/>
    <x v="48"/>
    <d v="2022-11-17T00:00:00"/>
    <n v="247"/>
    <x v="0"/>
    <n v="2491"/>
    <x v="194"/>
    <x v="179"/>
  </r>
  <r>
    <x v="4"/>
    <d v="2022-11-17T00:00:00"/>
    <s v="Bill"/>
    <n v="3105173"/>
    <x v="44"/>
    <d v="2022-11-17T00:00:00"/>
    <n v="247"/>
    <x v="0"/>
    <n v="125"/>
    <x v="50"/>
    <x v="50"/>
  </r>
  <r>
    <x v="4"/>
    <d v="2022-11-18T00:00:00"/>
    <s v="Bill"/>
    <n v="625866"/>
    <x v="14"/>
    <d v="2022-11-18T00:00:00"/>
    <n v="246"/>
    <x v="0"/>
    <n v="2405.5"/>
    <x v="195"/>
    <x v="180"/>
  </r>
  <r>
    <x v="4"/>
    <d v="2022-11-18T00:00:00"/>
    <s v="Bill"/>
    <n v="625863"/>
    <x v="14"/>
    <d v="2022-11-18T00:00:00"/>
    <n v="246"/>
    <x v="0"/>
    <n v="2002.2"/>
    <x v="196"/>
    <x v="181"/>
  </r>
  <r>
    <x v="4"/>
    <d v="2022-11-18T00:00:00"/>
    <s v="Bill"/>
    <n v="625864"/>
    <x v="14"/>
    <d v="2022-11-18T00:00:00"/>
    <n v="246"/>
    <x v="0"/>
    <n v="2002.2"/>
    <x v="196"/>
    <x v="181"/>
  </r>
  <r>
    <x v="4"/>
    <d v="2022-11-18T00:00:00"/>
    <s v="Bill"/>
    <n v="625865"/>
    <x v="14"/>
    <d v="2022-11-18T00:00:00"/>
    <n v="246"/>
    <x v="0"/>
    <n v="2002.2"/>
    <x v="196"/>
    <x v="181"/>
  </r>
  <r>
    <x v="4"/>
    <d v="2022-11-20T00:00:00"/>
    <s v="Bill"/>
    <n v="626693"/>
    <x v="14"/>
    <d v="2022-11-20T00:00:00"/>
    <n v="244"/>
    <x v="0"/>
    <n v="600"/>
    <x v="197"/>
    <x v="182"/>
  </r>
  <r>
    <x v="4"/>
    <d v="2022-11-22T00:00:00"/>
    <s v="Bill"/>
    <n v="36764712"/>
    <x v="48"/>
    <d v="2022-11-22T00:00:00"/>
    <n v="242"/>
    <x v="0"/>
    <n v="459.68"/>
    <x v="198"/>
    <x v="183"/>
  </r>
  <r>
    <x v="4"/>
    <d v="2022-11-23T00:00:00"/>
    <s v="Bill"/>
    <n v="672344"/>
    <x v="47"/>
    <d v="2022-11-23T00:00:00"/>
    <n v="241"/>
    <x v="0"/>
    <n v="200"/>
    <x v="74"/>
    <x v="74"/>
  </r>
  <r>
    <x v="4"/>
    <d v="2022-10-28T00:00:00"/>
    <s v="Bill"/>
    <n v="10123726"/>
    <x v="53"/>
    <d v="2022-11-27T00:00:00"/>
    <n v="237"/>
    <x v="0"/>
    <n v="1100"/>
    <x v="199"/>
    <x v="184"/>
  </r>
  <r>
    <x v="4"/>
    <d v="2022-10-28T00:00:00"/>
    <s v="Bill"/>
    <n v="10123727"/>
    <x v="53"/>
    <d v="2022-11-27T00:00:00"/>
    <n v="237"/>
    <x v="0"/>
    <n v="1100"/>
    <x v="199"/>
    <x v="184"/>
  </r>
  <r>
    <x v="4"/>
    <d v="2022-10-28T00:00:00"/>
    <s v="Bill"/>
    <n v="10123728"/>
    <x v="53"/>
    <d v="2022-11-27T00:00:00"/>
    <n v="237"/>
    <x v="0"/>
    <n v="1100"/>
    <x v="199"/>
    <x v="184"/>
  </r>
  <r>
    <x v="4"/>
    <d v="2022-10-28T00:00:00"/>
    <s v="Bill"/>
    <n v="10123740"/>
    <x v="53"/>
    <d v="2022-11-27T00:00:00"/>
    <n v="237"/>
    <x v="0"/>
    <n v="1100"/>
    <x v="199"/>
    <x v="184"/>
  </r>
  <r>
    <x v="4"/>
    <d v="2022-10-28T00:00:00"/>
    <s v="Bill"/>
    <n v="10123725"/>
    <x v="53"/>
    <d v="2022-11-27T00:00:00"/>
    <n v="237"/>
    <x v="0"/>
    <n v="1100"/>
    <x v="199"/>
    <x v="184"/>
  </r>
  <r>
    <x v="4"/>
    <d v="2022-11-28T00:00:00"/>
    <s v="Bill"/>
    <n v="36766016"/>
    <x v="48"/>
    <d v="2022-11-28T00:00:00"/>
    <n v="236"/>
    <x v="0"/>
    <n v="9100"/>
    <x v="200"/>
    <x v="185"/>
  </r>
  <r>
    <x v="4"/>
    <d v="2022-11-28T00:00:00"/>
    <s v="Bill"/>
    <n v="36766017"/>
    <x v="48"/>
    <d v="2022-11-28T00:00:00"/>
    <n v="236"/>
    <x v="0"/>
    <n v="7446"/>
    <x v="201"/>
    <x v="186"/>
  </r>
  <r>
    <x v="4"/>
    <d v="2022-11-29T00:00:00"/>
    <s v="Bill"/>
    <n v="36767240"/>
    <x v="48"/>
    <d v="2022-11-29T00:00:00"/>
    <n v="235"/>
    <x v="0"/>
    <n v="9851"/>
    <x v="202"/>
    <x v="187"/>
  </r>
  <r>
    <x v="4"/>
    <d v="2022-11-29T00:00:00"/>
    <s v="Bill"/>
    <n v="672994"/>
    <x v="47"/>
    <d v="2022-11-29T00:00:00"/>
    <n v="235"/>
    <x v="0"/>
    <n v="3660"/>
    <x v="175"/>
    <x v="160"/>
  </r>
  <r>
    <x v="4"/>
    <d v="2022-11-29T00:00:00"/>
    <s v="Bill"/>
    <n v="672995"/>
    <x v="47"/>
    <d v="2022-11-29T00:00:00"/>
    <n v="235"/>
    <x v="0"/>
    <n v="3660"/>
    <x v="175"/>
    <x v="160"/>
  </r>
  <r>
    <x v="4"/>
    <d v="2022-11-29T00:00:00"/>
    <s v="Bill"/>
    <n v="672996"/>
    <x v="47"/>
    <d v="2022-11-29T00:00:00"/>
    <n v="235"/>
    <x v="0"/>
    <n v="3660"/>
    <x v="175"/>
    <x v="160"/>
  </r>
  <r>
    <x v="4"/>
    <d v="2022-11-29T00:00:00"/>
    <s v="Bill"/>
    <n v="672997"/>
    <x v="47"/>
    <d v="2022-11-29T00:00:00"/>
    <n v="235"/>
    <x v="0"/>
    <n v="3660"/>
    <x v="175"/>
    <x v="160"/>
  </r>
  <r>
    <x v="4"/>
    <d v="2022-11-29T00:00:00"/>
    <s v="Bill"/>
    <n v="36767241"/>
    <x v="48"/>
    <d v="2022-11-29T00:00:00"/>
    <n v="235"/>
    <x v="0"/>
    <n v="2782.5"/>
    <x v="203"/>
    <x v="188"/>
  </r>
  <r>
    <x v="4"/>
    <d v="2022-11-29T00:00:00"/>
    <s v="Bill"/>
    <n v="36767242"/>
    <x v="48"/>
    <d v="2022-11-29T00:00:00"/>
    <n v="235"/>
    <x v="0"/>
    <n v="1508.1"/>
    <x v="204"/>
    <x v="189"/>
  </r>
  <r>
    <x v="4"/>
    <d v="2022-11-29T00:00:00"/>
    <s v="Bill"/>
    <n v="36767243"/>
    <x v="48"/>
    <d v="2022-11-29T00:00:00"/>
    <n v="235"/>
    <x v="0"/>
    <n v="1422.45"/>
    <x v="205"/>
    <x v="190"/>
  </r>
  <r>
    <x v="4"/>
    <d v="2022-12-01T00:00:00"/>
    <s v="Bill"/>
    <n v="631720"/>
    <x v="14"/>
    <d v="2022-12-01T00:00:00"/>
    <n v="233"/>
    <x v="0"/>
    <n v="3766.26"/>
    <x v="206"/>
    <x v="191"/>
  </r>
  <r>
    <x v="4"/>
    <d v="2022-12-01T00:00:00"/>
    <s v="Bill"/>
    <n v="631724"/>
    <x v="14"/>
    <d v="2022-12-01T00:00:00"/>
    <n v="233"/>
    <x v="0"/>
    <n v="3162.74"/>
    <x v="207"/>
    <x v="192"/>
  </r>
  <r>
    <x v="4"/>
    <d v="2022-12-01T00:00:00"/>
    <s v="Bill"/>
    <n v="631700"/>
    <x v="14"/>
    <d v="2022-12-01T00:00:00"/>
    <n v="233"/>
    <x v="0"/>
    <n v="579.5"/>
    <x v="208"/>
    <x v="193"/>
  </r>
  <r>
    <x v="4"/>
    <d v="2022-12-01T00:00:00"/>
    <s v="Bill"/>
    <n v="631708"/>
    <x v="14"/>
    <d v="2022-12-01T00:00:00"/>
    <n v="233"/>
    <x v="0"/>
    <n v="579.5"/>
    <x v="208"/>
    <x v="193"/>
  </r>
  <r>
    <x v="4"/>
    <d v="2022-12-01T00:00:00"/>
    <s v="Bill"/>
    <n v="631718"/>
    <x v="14"/>
    <d v="2022-12-01T00:00:00"/>
    <n v="233"/>
    <x v="0"/>
    <n v="579.5"/>
    <x v="208"/>
    <x v="193"/>
  </r>
  <r>
    <x v="4"/>
    <d v="2022-12-01T00:00:00"/>
    <s v="Bill"/>
    <n v="631701"/>
    <x v="14"/>
    <d v="2022-12-01T00:00:00"/>
    <n v="233"/>
    <x v="0"/>
    <n v="510.81"/>
    <x v="209"/>
    <x v="194"/>
  </r>
  <r>
    <x v="4"/>
    <d v="2022-12-01T00:00:00"/>
    <s v="Bill"/>
    <n v="631705"/>
    <x v="14"/>
    <d v="2022-12-01T00:00:00"/>
    <n v="233"/>
    <x v="0"/>
    <n v="510.81"/>
    <x v="209"/>
    <x v="194"/>
  </r>
  <r>
    <x v="4"/>
    <d v="2022-12-01T00:00:00"/>
    <s v="Bill"/>
    <n v="631703"/>
    <x v="14"/>
    <d v="2022-12-01T00:00:00"/>
    <n v="233"/>
    <x v="0"/>
    <n v="510.43"/>
    <x v="210"/>
    <x v="195"/>
  </r>
  <r>
    <x v="4"/>
    <d v="2022-12-01T00:00:00"/>
    <s v="Bill"/>
    <n v="631704"/>
    <x v="14"/>
    <d v="2022-12-01T00:00:00"/>
    <n v="233"/>
    <x v="0"/>
    <n v="510.43"/>
    <x v="210"/>
    <x v="195"/>
  </r>
  <r>
    <x v="4"/>
    <d v="2022-12-01T00:00:00"/>
    <s v="Bill"/>
    <n v="631715"/>
    <x v="14"/>
    <d v="2022-12-01T00:00:00"/>
    <n v="233"/>
    <x v="0"/>
    <n v="510.43"/>
    <x v="210"/>
    <x v="195"/>
  </r>
  <r>
    <x v="4"/>
    <d v="2022-12-07T00:00:00"/>
    <s v="Bill"/>
    <n v="675206"/>
    <x v="47"/>
    <d v="2022-12-07T00:00:00"/>
    <n v="227"/>
    <x v="0"/>
    <n v="1274"/>
    <x v="211"/>
    <x v="196"/>
  </r>
  <r>
    <x v="4"/>
    <d v="2022-12-07T00:00:00"/>
    <s v="Bill"/>
    <n v="675147"/>
    <x v="47"/>
    <d v="2022-12-07T00:00:00"/>
    <n v="227"/>
    <x v="0"/>
    <n v="1274"/>
    <x v="211"/>
    <x v="196"/>
  </r>
  <r>
    <x v="4"/>
    <d v="2022-12-08T00:00:00"/>
    <s v="Bill"/>
    <n v="36772410"/>
    <x v="48"/>
    <d v="2022-12-08T00:00:00"/>
    <n v="226"/>
    <x v="0"/>
    <n v="1908"/>
    <x v="212"/>
    <x v="197"/>
  </r>
  <r>
    <x v="4"/>
    <d v="2022-11-09T00:00:00"/>
    <s v="Bill"/>
    <n v="3008"/>
    <x v="20"/>
    <d v="2022-12-09T00:00:00"/>
    <n v="225"/>
    <x v="0"/>
    <n v="930.5"/>
    <x v="178"/>
    <x v="163"/>
  </r>
  <r>
    <x v="4"/>
    <d v="2022-11-09T00:00:00"/>
    <s v="Bill"/>
    <n v="10138073"/>
    <x v="53"/>
    <d v="2022-12-09T00:00:00"/>
    <n v="225"/>
    <x v="0"/>
    <n v="345"/>
    <x v="213"/>
    <x v="198"/>
  </r>
  <r>
    <x v="4"/>
    <d v="2022-12-12T00:00:00"/>
    <s v="Bill"/>
    <n v="36778438"/>
    <x v="48"/>
    <d v="2022-12-12T00:00:00"/>
    <n v="222"/>
    <x v="0"/>
    <n v="1067.5"/>
    <x v="214"/>
    <x v="199"/>
  </r>
  <r>
    <x v="4"/>
    <d v="2022-12-12T00:00:00"/>
    <s v="Bill"/>
    <n v="628961"/>
    <x v="14"/>
    <d v="2022-12-12T00:00:00"/>
    <n v="222"/>
    <x v="0"/>
    <n v="1000"/>
    <x v="0"/>
    <x v="0"/>
  </r>
  <r>
    <x v="4"/>
    <d v="2022-12-12T00:00:00"/>
    <s v="Bill"/>
    <n v="695662"/>
    <x v="54"/>
    <d v="2022-12-12T00:00:00"/>
    <n v="222"/>
    <x v="0"/>
    <n v="400"/>
    <x v="73"/>
    <x v="73"/>
  </r>
  <r>
    <x v="4"/>
    <d v="2022-12-12T00:00:00"/>
    <s v="Bill"/>
    <n v="695664"/>
    <x v="54"/>
    <d v="2022-12-12T00:00:00"/>
    <n v="222"/>
    <x v="0"/>
    <n v="200"/>
    <x v="74"/>
    <x v="74"/>
  </r>
  <r>
    <x v="4"/>
    <d v="2022-12-13T00:00:00"/>
    <s v="Bill"/>
    <n v="89680294"/>
    <x v="52"/>
    <d v="2022-12-13T00:00:00"/>
    <n v="221"/>
    <x v="0"/>
    <n v="302.64"/>
    <x v="215"/>
    <x v="200"/>
  </r>
  <r>
    <x v="4"/>
    <d v="2022-12-13T00:00:00"/>
    <s v="Bill"/>
    <n v="89680200"/>
    <x v="52"/>
    <d v="2022-12-13T00:00:00"/>
    <n v="221"/>
    <x v="0"/>
    <n v="302.64"/>
    <x v="215"/>
    <x v="200"/>
  </r>
  <r>
    <x v="4"/>
    <d v="2022-12-13T00:00:00"/>
    <s v="Bill"/>
    <n v="89680286"/>
    <x v="52"/>
    <d v="2022-12-13T00:00:00"/>
    <n v="221"/>
    <x v="0"/>
    <n v="302.64"/>
    <x v="215"/>
    <x v="200"/>
  </r>
  <r>
    <x v="4"/>
    <d v="2022-12-13T00:00:00"/>
    <s v="Bill"/>
    <n v="89680215"/>
    <x v="52"/>
    <d v="2022-12-13T00:00:00"/>
    <n v="221"/>
    <x v="0"/>
    <n v="302.64"/>
    <x v="215"/>
    <x v="200"/>
  </r>
  <r>
    <x v="4"/>
    <d v="2022-12-13T00:00:00"/>
    <s v="Bill"/>
    <n v="89680263"/>
    <x v="52"/>
    <d v="2022-12-13T00:00:00"/>
    <n v="221"/>
    <x v="0"/>
    <n v="302.64"/>
    <x v="215"/>
    <x v="200"/>
  </r>
  <r>
    <x v="4"/>
    <d v="2022-12-13T00:00:00"/>
    <s v="Bill"/>
    <n v="89680219"/>
    <x v="52"/>
    <d v="2022-12-13T00:00:00"/>
    <n v="221"/>
    <x v="0"/>
    <n v="302.64"/>
    <x v="215"/>
    <x v="200"/>
  </r>
  <r>
    <x v="4"/>
    <d v="2022-12-13T00:00:00"/>
    <s v="Bill"/>
    <n v="89680189"/>
    <x v="52"/>
    <d v="2022-12-13T00:00:00"/>
    <n v="221"/>
    <x v="0"/>
    <n v="150"/>
    <x v="58"/>
    <x v="58"/>
  </r>
  <r>
    <x v="4"/>
    <d v="2022-12-13T00:00:00"/>
    <s v="Bill"/>
    <n v="89680292"/>
    <x v="52"/>
    <d v="2022-12-13T00:00:00"/>
    <n v="221"/>
    <x v="0"/>
    <n v="150"/>
    <x v="58"/>
    <x v="58"/>
  </r>
  <r>
    <x v="4"/>
    <d v="2022-12-13T00:00:00"/>
    <s v="Bill"/>
    <n v="89680210"/>
    <x v="52"/>
    <d v="2022-12-13T00:00:00"/>
    <n v="221"/>
    <x v="0"/>
    <n v="150"/>
    <x v="58"/>
    <x v="58"/>
  </r>
  <r>
    <x v="4"/>
    <d v="2022-12-13T00:00:00"/>
    <s v="Bill"/>
    <n v="89680265"/>
    <x v="52"/>
    <d v="2022-12-13T00:00:00"/>
    <n v="221"/>
    <x v="0"/>
    <n v="150"/>
    <x v="58"/>
    <x v="58"/>
  </r>
  <r>
    <x v="4"/>
    <d v="2022-12-13T00:00:00"/>
    <s v="Bill"/>
    <n v="89680260"/>
    <x v="52"/>
    <d v="2022-12-13T00:00:00"/>
    <n v="221"/>
    <x v="0"/>
    <n v="150"/>
    <x v="58"/>
    <x v="58"/>
  </r>
  <r>
    <x v="4"/>
    <d v="2022-12-13T00:00:00"/>
    <s v="Bill"/>
    <n v="89680216"/>
    <x v="52"/>
    <d v="2022-12-13T00:00:00"/>
    <n v="221"/>
    <x v="0"/>
    <n v="150"/>
    <x v="58"/>
    <x v="58"/>
  </r>
  <r>
    <x v="4"/>
    <d v="2022-12-14T00:00:00"/>
    <s v="Bill"/>
    <s v="C300433"/>
    <x v="55"/>
    <d v="2022-12-14T00:00:00"/>
    <n v="220"/>
    <x v="0"/>
    <n v="3602.7"/>
    <x v="216"/>
    <x v="201"/>
  </r>
  <r>
    <x v="4"/>
    <d v="2022-12-14T00:00:00"/>
    <s v="Bill"/>
    <s v="C300432"/>
    <x v="55"/>
    <d v="2022-12-14T00:00:00"/>
    <n v="220"/>
    <x v="0"/>
    <n v="3586.38"/>
    <x v="217"/>
    <x v="202"/>
  </r>
  <r>
    <x v="4"/>
    <d v="2022-12-14T00:00:00"/>
    <s v="Bill"/>
    <s v="C300435"/>
    <x v="55"/>
    <d v="2022-12-14T00:00:00"/>
    <n v="220"/>
    <x v="0"/>
    <n v="3521.33"/>
    <x v="218"/>
    <x v="203"/>
  </r>
  <r>
    <x v="4"/>
    <d v="2022-12-14T00:00:00"/>
    <s v="Bill"/>
    <s v="C300434"/>
    <x v="55"/>
    <d v="2022-12-14T00:00:00"/>
    <n v="220"/>
    <x v="0"/>
    <n v="3516.87"/>
    <x v="219"/>
    <x v="204"/>
  </r>
  <r>
    <x v="4"/>
    <d v="2022-12-15T00:00:00"/>
    <s v="Bill"/>
    <s v="INV#139919"/>
    <x v="46"/>
    <d v="2022-12-15T00:00:00"/>
    <n v="219"/>
    <x v="0"/>
    <n v="420.88"/>
    <x v="220"/>
    <x v="205"/>
  </r>
  <r>
    <x v="4"/>
    <d v="2022-12-15T00:00:00"/>
    <s v="Bill"/>
    <s v="INV#139921"/>
    <x v="46"/>
    <d v="2022-12-15T00:00:00"/>
    <n v="219"/>
    <x v="0"/>
    <n v="420.88"/>
    <x v="220"/>
    <x v="205"/>
  </r>
  <r>
    <x v="4"/>
    <d v="2022-12-15T00:00:00"/>
    <s v="Bill"/>
    <s v="INV# 139922"/>
    <x v="46"/>
    <d v="2022-12-15T00:00:00"/>
    <n v="219"/>
    <x v="0"/>
    <n v="420.88"/>
    <x v="220"/>
    <x v="205"/>
  </r>
  <r>
    <x v="4"/>
    <d v="2022-12-15T00:00:00"/>
    <s v="Bill"/>
    <s v="INV#139923"/>
    <x v="46"/>
    <d v="2022-12-15T00:00:00"/>
    <n v="219"/>
    <x v="0"/>
    <n v="420.88"/>
    <x v="220"/>
    <x v="205"/>
  </r>
  <r>
    <x v="4"/>
    <d v="2022-12-15T00:00:00"/>
    <s v="Bill"/>
    <s v="INV# 139925"/>
    <x v="46"/>
    <d v="2022-12-15T00:00:00"/>
    <n v="219"/>
    <x v="0"/>
    <n v="420.88"/>
    <x v="220"/>
    <x v="205"/>
  </r>
  <r>
    <x v="4"/>
    <d v="2022-12-15T00:00:00"/>
    <s v="Bill"/>
    <s v="INV# 139927"/>
    <x v="46"/>
    <d v="2022-12-15T00:00:00"/>
    <n v="219"/>
    <x v="0"/>
    <n v="420.88"/>
    <x v="220"/>
    <x v="205"/>
  </r>
  <r>
    <x v="4"/>
    <d v="2022-12-01T00:00:00"/>
    <s v="Bill"/>
    <n v="26155"/>
    <x v="1"/>
    <d v="2022-12-16T00:00:00"/>
    <n v="218"/>
    <x v="0"/>
    <n v="300"/>
    <x v="1"/>
    <x v="1"/>
  </r>
  <r>
    <x v="4"/>
    <d v="2022-12-19T00:00:00"/>
    <s v="Bill"/>
    <n v="110902"/>
    <x v="17"/>
    <d v="2022-12-19T00:00:00"/>
    <n v="215"/>
    <x v="0"/>
    <n v="4643"/>
    <x v="221"/>
    <x v="206"/>
  </r>
  <r>
    <x v="4"/>
    <d v="2022-12-19T00:00:00"/>
    <s v="Bill"/>
    <n v="36776854"/>
    <x v="48"/>
    <d v="2022-12-19T00:00:00"/>
    <n v="215"/>
    <x v="0"/>
    <n v="2289.2600000000002"/>
    <x v="222"/>
    <x v="207"/>
  </r>
  <r>
    <x v="4"/>
    <d v="2022-12-19T00:00:00"/>
    <s v="Bill"/>
    <n v="36776830"/>
    <x v="48"/>
    <d v="2022-12-19T00:00:00"/>
    <n v="215"/>
    <x v="0"/>
    <n v="822.5"/>
    <x v="223"/>
    <x v="208"/>
  </r>
  <r>
    <x v="4"/>
    <d v="2022-12-19T00:00:00"/>
    <s v="Bill"/>
    <n v="110903"/>
    <x v="17"/>
    <d v="2022-12-19T00:00:00"/>
    <n v="215"/>
    <x v="0"/>
    <n v="250"/>
    <x v="134"/>
    <x v="209"/>
  </r>
  <r>
    <x v="4"/>
    <d v="2022-12-19T00:00:00"/>
    <s v="Bill"/>
    <n v="677170"/>
    <x v="47"/>
    <d v="2022-12-19T00:00:00"/>
    <n v="215"/>
    <x v="0"/>
    <n v="250"/>
    <x v="134"/>
    <x v="209"/>
  </r>
  <r>
    <x v="4"/>
    <d v="2022-12-19T00:00:00"/>
    <s v="Bill"/>
    <n v="677171"/>
    <x v="47"/>
    <d v="2022-12-19T00:00:00"/>
    <n v="215"/>
    <x v="0"/>
    <n v="250"/>
    <x v="134"/>
    <x v="209"/>
  </r>
  <r>
    <x v="4"/>
    <d v="2022-12-19T00:00:00"/>
    <s v="Bill"/>
    <n v="677172"/>
    <x v="47"/>
    <d v="2022-12-19T00:00:00"/>
    <n v="215"/>
    <x v="0"/>
    <n v="250"/>
    <x v="134"/>
    <x v="209"/>
  </r>
  <r>
    <x v="4"/>
    <d v="2022-12-19T00:00:00"/>
    <s v="Bill"/>
    <n v="36776829"/>
    <x v="48"/>
    <d v="2022-12-19T00:00:00"/>
    <n v="215"/>
    <x v="0"/>
    <n v="202"/>
    <x v="224"/>
    <x v="210"/>
  </r>
  <r>
    <x v="4"/>
    <d v="2022-12-19T00:00:00"/>
    <s v="Bill"/>
    <n v="677166"/>
    <x v="47"/>
    <d v="2022-12-19T00:00:00"/>
    <n v="215"/>
    <x v="0"/>
    <n v="200"/>
    <x v="74"/>
    <x v="74"/>
  </r>
  <r>
    <x v="4"/>
    <d v="2022-12-19T00:00:00"/>
    <s v="Bill"/>
    <n v="677167"/>
    <x v="47"/>
    <d v="2022-12-19T00:00:00"/>
    <n v="215"/>
    <x v="0"/>
    <n v="200"/>
    <x v="74"/>
    <x v="74"/>
  </r>
  <r>
    <x v="4"/>
    <d v="2022-12-19T00:00:00"/>
    <s v="Bill"/>
    <n v="677168"/>
    <x v="47"/>
    <d v="2022-12-19T00:00:00"/>
    <n v="215"/>
    <x v="0"/>
    <n v="200"/>
    <x v="74"/>
    <x v="74"/>
  </r>
  <r>
    <x v="4"/>
    <d v="2022-12-19T00:00:00"/>
    <s v="Bill"/>
    <n v="677169"/>
    <x v="47"/>
    <d v="2022-12-19T00:00:00"/>
    <n v="215"/>
    <x v="0"/>
    <n v="200"/>
    <x v="74"/>
    <x v="74"/>
  </r>
  <r>
    <x v="4"/>
    <d v="2022-12-19T00:00:00"/>
    <s v="Bill"/>
    <n v="36776831"/>
    <x v="48"/>
    <d v="2022-12-19T00:00:00"/>
    <n v="215"/>
    <x v="0"/>
    <n v="166"/>
    <x v="225"/>
    <x v="211"/>
  </r>
  <r>
    <x v="4"/>
    <d v="2022-12-20T00:00:00"/>
    <s v="Bill"/>
    <n v="629625"/>
    <x v="14"/>
    <d v="2022-12-20T00:00:00"/>
    <n v="214"/>
    <x v="0"/>
    <n v="950"/>
    <x v="226"/>
    <x v="212"/>
  </r>
  <r>
    <x v="4"/>
    <d v="2022-12-20T00:00:00"/>
    <s v="Bill"/>
    <s v="INV#140523"/>
    <x v="46"/>
    <d v="2022-12-20T00:00:00"/>
    <n v="214"/>
    <x v="0"/>
    <n v="650"/>
    <x v="227"/>
    <x v="213"/>
  </r>
  <r>
    <x v="4"/>
    <d v="2022-12-22T00:00:00"/>
    <s v="Bill"/>
    <n v="36765081"/>
    <x v="48"/>
    <d v="2022-12-22T00:00:00"/>
    <n v="212"/>
    <x v="0"/>
    <n v="3608"/>
    <x v="228"/>
    <x v="214"/>
  </r>
  <r>
    <x v="4"/>
    <d v="2022-12-22T00:00:00"/>
    <s v="Bill"/>
    <n v="36778441"/>
    <x v="48"/>
    <d v="2022-12-22T00:00:00"/>
    <n v="212"/>
    <x v="0"/>
    <n v="1679"/>
    <x v="229"/>
    <x v="215"/>
  </r>
  <r>
    <x v="4"/>
    <d v="2022-12-22T00:00:00"/>
    <s v="Bill"/>
    <n v="36778440"/>
    <x v="48"/>
    <d v="2022-12-22T00:00:00"/>
    <n v="212"/>
    <x v="0"/>
    <n v="1679"/>
    <x v="229"/>
    <x v="215"/>
  </r>
  <r>
    <x v="4"/>
    <d v="2022-12-22T00:00:00"/>
    <s v="Bill"/>
    <n v="36778439"/>
    <x v="48"/>
    <d v="2022-12-22T00:00:00"/>
    <n v="212"/>
    <x v="0"/>
    <n v="1511.25"/>
    <x v="230"/>
    <x v="216"/>
  </r>
  <r>
    <x v="4"/>
    <d v="2022-12-22T00:00:00"/>
    <s v="Bill"/>
    <s v="INV#140980"/>
    <x v="46"/>
    <d v="2022-12-22T00:00:00"/>
    <n v="212"/>
    <x v="0"/>
    <n v="650"/>
    <x v="227"/>
    <x v="213"/>
  </r>
  <r>
    <x v="4"/>
    <d v="2022-12-22T00:00:00"/>
    <s v="Bill"/>
    <n v="36778437"/>
    <x v="48"/>
    <d v="2022-12-22T00:00:00"/>
    <n v="212"/>
    <x v="0"/>
    <n v="645.98"/>
    <x v="231"/>
    <x v="217"/>
  </r>
  <r>
    <x v="4"/>
    <d v="2022-12-22T00:00:00"/>
    <s v="Bill"/>
    <n v="36782250"/>
    <x v="48"/>
    <d v="2022-12-22T00:00:00"/>
    <n v="212"/>
    <x v="0"/>
    <n v="459.68"/>
    <x v="198"/>
    <x v="183"/>
  </r>
  <r>
    <x v="4"/>
    <d v="2022-11-23T00:00:00"/>
    <s v="Bill"/>
    <n v="10157556"/>
    <x v="53"/>
    <d v="2022-12-23T00:00:00"/>
    <n v="211"/>
    <x v="0"/>
    <n v="345"/>
    <x v="213"/>
    <x v="198"/>
  </r>
  <r>
    <x v="4"/>
    <d v="2022-11-23T00:00:00"/>
    <s v="Bill"/>
    <n v="10157558"/>
    <x v="53"/>
    <d v="2022-12-23T00:00:00"/>
    <n v="211"/>
    <x v="0"/>
    <n v="345"/>
    <x v="213"/>
    <x v="198"/>
  </r>
  <r>
    <x v="4"/>
    <d v="2022-11-23T00:00:00"/>
    <s v="Bill"/>
    <n v="10157640"/>
    <x v="53"/>
    <d v="2022-12-23T00:00:00"/>
    <n v="211"/>
    <x v="0"/>
    <n v="345"/>
    <x v="213"/>
    <x v="198"/>
  </r>
  <r>
    <x v="4"/>
    <d v="2022-12-23T00:00:00"/>
    <s v="Bill"/>
    <n v="111225"/>
    <x v="17"/>
    <d v="2022-12-23T00:00:00"/>
    <n v="211"/>
    <x v="0"/>
    <n v="500"/>
    <x v="38"/>
    <x v="38"/>
  </r>
  <r>
    <x v="4"/>
    <d v="2022-11-28T00:00:00"/>
    <s v="Bill"/>
    <n v="10159801"/>
    <x v="53"/>
    <d v="2022-12-28T00:00:00"/>
    <n v="206"/>
    <x v="0"/>
    <n v="345"/>
    <x v="213"/>
    <x v="198"/>
  </r>
  <r>
    <x v="4"/>
    <d v="2022-12-28T00:00:00"/>
    <s v="Bill"/>
    <n v="111420"/>
    <x v="17"/>
    <d v="2022-12-28T00:00:00"/>
    <n v="206"/>
    <x v="0"/>
    <n v="300"/>
    <x v="1"/>
    <x v="1"/>
  </r>
  <r>
    <x v="4"/>
    <d v="2022-12-28T00:00:00"/>
    <s v="Bill"/>
    <n v="111421"/>
    <x v="17"/>
    <d v="2022-12-28T00:00:00"/>
    <n v="206"/>
    <x v="0"/>
    <n v="300"/>
    <x v="1"/>
    <x v="1"/>
  </r>
  <r>
    <x v="4"/>
    <d v="2022-12-28T00:00:00"/>
    <s v="Bill"/>
    <n v="111422"/>
    <x v="17"/>
    <d v="2022-12-28T00:00:00"/>
    <n v="206"/>
    <x v="0"/>
    <n v="300"/>
    <x v="1"/>
    <x v="1"/>
  </r>
  <r>
    <x v="4"/>
    <d v="2022-12-28T00:00:00"/>
    <s v="Bill"/>
    <n v="111423"/>
    <x v="17"/>
    <d v="2022-12-28T00:00:00"/>
    <n v="206"/>
    <x v="0"/>
    <n v="300"/>
    <x v="1"/>
    <x v="1"/>
  </r>
  <r>
    <x v="4"/>
    <d v="2022-12-29T00:00:00"/>
    <s v="Bill"/>
    <n v="36780992"/>
    <x v="48"/>
    <d v="2022-12-29T00:00:00"/>
    <n v="205"/>
    <x v="0"/>
    <n v="2800"/>
    <x v="232"/>
    <x v="218"/>
  </r>
  <r>
    <x v="4"/>
    <d v="2022-12-29T00:00:00"/>
    <s v="Bill"/>
    <n v="36781500"/>
    <x v="48"/>
    <d v="2022-12-29T00:00:00"/>
    <n v="205"/>
    <x v="0"/>
    <n v="459.68"/>
    <x v="198"/>
    <x v="183"/>
  </r>
  <r>
    <x v="4"/>
    <d v="2022-12-29T00:00:00"/>
    <s v="Bill"/>
    <n v="36781499"/>
    <x v="48"/>
    <d v="2022-12-29T00:00:00"/>
    <n v="205"/>
    <x v="0"/>
    <n v="459.68"/>
    <x v="198"/>
    <x v="183"/>
  </r>
  <r>
    <x v="4"/>
    <d v="2022-12-30T00:00:00"/>
    <s v="Bill"/>
    <n v="108341"/>
    <x v="17"/>
    <d v="2022-12-30T00:00:00"/>
    <n v="204"/>
    <x v="0"/>
    <n v="3936.8"/>
    <x v="190"/>
    <x v="175"/>
  </r>
  <r>
    <x v="4"/>
    <d v="2022-12-30T00:00:00"/>
    <s v="Bill"/>
    <n v="108342"/>
    <x v="17"/>
    <d v="2022-12-30T00:00:00"/>
    <n v="204"/>
    <x v="0"/>
    <n v="250"/>
    <x v="134"/>
    <x v="209"/>
  </r>
  <r>
    <x v="4"/>
    <d v="2022-12-01T00:00:00"/>
    <s v="Bill"/>
    <s v="FCCTX/22/105276"/>
    <x v="56"/>
    <d v="2022-12-31T00:00:00"/>
    <n v="203"/>
    <x v="0"/>
    <n v="206"/>
    <x v="233"/>
    <x v="219"/>
  </r>
  <r>
    <x v="4"/>
    <d v="2022-12-31T00:00:00"/>
    <s v="Journal Entry"/>
    <s v="Adj_AspenEngineers_Re"/>
    <x v="57"/>
    <d v="2022-12-31T00:00:00"/>
    <n v="203"/>
    <x v="0"/>
    <n v="617438.82999999996"/>
    <x v="234"/>
    <x v="220"/>
  </r>
  <r>
    <x v="4"/>
    <d v="2023-01-01T00:00:00"/>
    <s v="Bill"/>
    <n v="26286"/>
    <x v="1"/>
    <d v="2023-01-01T00:00:00"/>
    <n v="202"/>
    <x v="0"/>
    <n v="300"/>
    <x v="1"/>
    <x v="1"/>
  </r>
  <r>
    <x v="4"/>
    <d v="2023-01-03T00:00:00"/>
    <s v="Bill"/>
    <n v="9645"/>
    <x v="30"/>
    <d v="2023-01-03T00:00:00"/>
    <n v="200"/>
    <x v="0"/>
    <n v="5114.8100000000004"/>
    <x v="91"/>
    <x v="91"/>
  </r>
  <r>
    <x v="4"/>
    <d v="2023-01-17T00:00:00"/>
    <s v="Bill"/>
    <n v="682539"/>
    <x v="47"/>
    <d v="2023-01-17T00:00:00"/>
    <n v="186"/>
    <x v="0"/>
    <n v="1250.9000000000001"/>
    <x v="235"/>
    <x v="221"/>
  </r>
  <r>
    <x v="4"/>
    <d v="2023-01-17T00:00:00"/>
    <s v="Bill"/>
    <n v="682541"/>
    <x v="47"/>
    <d v="2023-01-17T00:00:00"/>
    <n v="186"/>
    <x v="0"/>
    <n v="1250.9000000000001"/>
    <x v="235"/>
    <x v="221"/>
  </r>
  <r>
    <x v="4"/>
    <d v="2023-01-17T00:00:00"/>
    <s v="Bill"/>
    <n v="682543"/>
    <x v="47"/>
    <d v="2023-01-17T00:00:00"/>
    <n v="186"/>
    <x v="0"/>
    <n v="1250.9000000000001"/>
    <x v="235"/>
    <x v="221"/>
  </r>
  <r>
    <x v="4"/>
    <d v="2023-01-17T00:00:00"/>
    <s v="Bill"/>
    <n v="682544"/>
    <x v="47"/>
    <d v="2023-01-17T00:00:00"/>
    <n v="186"/>
    <x v="0"/>
    <n v="1250.9000000000001"/>
    <x v="235"/>
    <x v="221"/>
  </r>
  <r>
    <x v="4"/>
    <d v="2023-01-18T00:00:00"/>
    <s v="Bill"/>
    <n v="683035"/>
    <x v="47"/>
    <d v="2023-01-18T00:00:00"/>
    <n v="185"/>
    <x v="0"/>
    <n v="250"/>
    <x v="134"/>
    <x v="209"/>
  </r>
  <r>
    <x v="4"/>
    <d v="2023-01-18T00:00:00"/>
    <s v="Bill"/>
    <n v="88215"/>
    <x v="58"/>
    <d v="2023-01-18T00:00:00"/>
    <n v="185"/>
    <x v="0"/>
    <n v="162.38"/>
    <x v="55"/>
    <x v="55"/>
  </r>
  <r>
    <x v="4"/>
    <d v="2023-01-30T00:00:00"/>
    <s v="Bill"/>
    <n v="685226"/>
    <x v="47"/>
    <d v="2023-01-30T00:00:00"/>
    <n v="173"/>
    <x v="0"/>
    <n v="800"/>
    <x v="236"/>
    <x v="222"/>
  </r>
  <r>
    <x v="4"/>
    <d v="2023-01-30T00:00:00"/>
    <s v="Bill"/>
    <n v="685227"/>
    <x v="47"/>
    <d v="2023-01-30T00:00:00"/>
    <n v="173"/>
    <x v="0"/>
    <n v="800"/>
    <x v="236"/>
    <x v="222"/>
  </r>
  <r>
    <x v="4"/>
    <d v="2023-01-30T00:00:00"/>
    <s v="Bill"/>
    <n v="685228"/>
    <x v="47"/>
    <d v="2023-01-30T00:00:00"/>
    <n v="173"/>
    <x v="0"/>
    <n v="800"/>
    <x v="236"/>
    <x v="222"/>
  </r>
  <r>
    <x v="4"/>
    <d v="2023-01-30T00:00:00"/>
    <s v="Bill"/>
    <n v="685230"/>
    <x v="47"/>
    <d v="2023-01-30T00:00:00"/>
    <n v="173"/>
    <x v="0"/>
    <n v="800"/>
    <x v="236"/>
    <x v="222"/>
  </r>
  <r>
    <x v="4"/>
    <d v="2022-09-01T00:00:00"/>
    <s v="Bill"/>
    <n v="7253"/>
    <x v="45"/>
    <d v="2023-02-09T00:00:00"/>
    <n v="163"/>
    <x v="0"/>
    <n v="499"/>
    <x v="237"/>
    <x v="223"/>
  </r>
  <r>
    <x v="4"/>
    <d v="2022-09-30T00:00:00"/>
    <s v="Bill"/>
    <n v="7254"/>
    <x v="45"/>
    <d v="2023-02-09T00:00:00"/>
    <n v="163"/>
    <x v="0"/>
    <n v="598.65"/>
    <x v="238"/>
    <x v="224"/>
  </r>
  <r>
    <x v="4"/>
    <d v="2022-09-30T00:00:00"/>
    <s v="Bill"/>
    <n v="7255"/>
    <x v="45"/>
    <d v="2023-02-09T00:00:00"/>
    <n v="163"/>
    <x v="0"/>
    <n v="348.65"/>
    <x v="239"/>
    <x v="225"/>
  </r>
  <r>
    <x v="4"/>
    <d v="2022-10-12T00:00:00"/>
    <s v="Bill"/>
    <n v="7256"/>
    <x v="45"/>
    <d v="2023-02-09T00:00:00"/>
    <n v="163"/>
    <x v="0"/>
    <n v="1395.6"/>
    <x v="240"/>
    <x v="226"/>
  </r>
  <r>
    <x v="4"/>
    <d v="2023-01-11T00:00:00"/>
    <s v="Bill"/>
    <n v="3156"/>
    <x v="20"/>
    <d v="2023-02-10T00:00:00"/>
    <n v="162"/>
    <x v="0"/>
    <n v="450"/>
    <x v="22"/>
    <x v="22"/>
  </r>
  <r>
    <x v="4"/>
    <d v="2023-02-01T00:00:00"/>
    <s v="Bill"/>
    <n v="26384"/>
    <x v="1"/>
    <d v="2023-02-16T00:00:00"/>
    <n v="156"/>
    <x v="0"/>
    <n v="300"/>
    <x v="1"/>
    <x v="1"/>
  </r>
  <r>
    <x v="4"/>
    <d v="2023-01-19T00:00:00"/>
    <s v="Bill"/>
    <n v="9212"/>
    <x v="35"/>
    <d v="2023-02-18T00:00:00"/>
    <n v="154"/>
    <x v="0"/>
    <n v="2273.25"/>
    <x v="111"/>
    <x v="111"/>
  </r>
  <r>
    <x v="4"/>
    <d v="2023-02-24T00:00:00"/>
    <s v="Bill"/>
    <s v="IN254006"/>
    <x v="55"/>
    <d v="2023-02-24T00:00:00"/>
    <n v="148"/>
    <x v="0"/>
    <n v="3521.33"/>
    <x v="218"/>
    <x v="203"/>
  </r>
  <r>
    <x v="4"/>
    <d v="2023-02-24T00:00:00"/>
    <s v="Bill"/>
    <s v="IN254128"/>
    <x v="55"/>
    <d v="2023-02-24T00:00:00"/>
    <n v="148"/>
    <x v="0"/>
    <n v="3516.87"/>
    <x v="219"/>
    <x v="204"/>
  </r>
  <r>
    <x v="4"/>
    <d v="2023-02-28T00:00:00"/>
    <s v="Bill"/>
    <n v="43990"/>
    <x v="0"/>
    <d v="2023-02-28T00:00:00"/>
    <n v="144"/>
    <x v="0"/>
    <n v="300"/>
    <x v="1"/>
    <x v="1"/>
  </r>
  <r>
    <x v="4"/>
    <d v="2023-02-24T00:00:00"/>
    <s v="Bill"/>
    <s v="INV-MP4596"/>
    <x v="49"/>
    <d v="2023-03-11T00:00:00"/>
    <n v="133"/>
    <x v="0"/>
    <n v="2330"/>
    <x v="241"/>
    <x v="227"/>
  </r>
  <r>
    <x v="4"/>
    <d v="2023-03-14T00:00:00"/>
    <s v="Bill"/>
    <n v="69977889"/>
    <x v="59"/>
    <d v="2023-03-14T00:00:00"/>
    <n v="130"/>
    <x v="0"/>
    <n v="175"/>
    <x v="242"/>
    <x v="228"/>
  </r>
  <r>
    <x v="4"/>
    <d v="2023-03-15T00:00:00"/>
    <s v="Bill"/>
    <n v="694518"/>
    <x v="47"/>
    <d v="2023-03-15T00:00:00"/>
    <n v="129"/>
    <x v="0"/>
    <n v="1250"/>
    <x v="243"/>
    <x v="229"/>
  </r>
  <r>
    <x v="4"/>
    <d v="2023-03-01T00:00:00"/>
    <s v="Bill"/>
    <n v="26505"/>
    <x v="1"/>
    <d v="2023-03-16T00:00:00"/>
    <n v="128"/>
    <x v="0"/>
    <n v="300"/>
    <x v="1"/>
    <x v="1"/>
  </r>
  <r>
    <x v="4"/>
    <d v="2023-03-22T00:00:00"/>
    <s v="Bill"/>
    <n v="92576"/>
    <x v="51"/>
    <d v="2023-03-22T00:00:00"/>
    <n v="122"/>
    <x v="0"/>
    <n v="625"/>
    <x v="244"/>
    <x v="230"/>
  </r>
  <r>
    <x v="4"/>
    <d v="2023-03-08T00:00:00"/>
    <s v="Bill"/>
    <s v="INV-MP4691"/>
    <x v="49"/>
    <d v="2023-03-23T00:00:00"/>
    <n v="121"/>
    <x v="0"/>
    <n v="2150"/>
    <x v="245"/>
    <x v="231"/>
  </r>
  <r>
    <x v="4"/>
    <d v="2023-03-29T00:00:00"/>
    <s v="Bill"/>
    <n v="70144506"/>
    <x v="59"/>
    <d v="2023-03-29T00:00:00"/>
    <n v="115"/>
    <x v="0"/>
    <n v="737.81"/>
    <x v="246"/>
    <x v="232"/>
  </r>
  <r>
    <x v="4"/>
    <d v="2023-03-29T00:00:00"/>
    <s v="Bill"/>
    <n v="70144508"/>
    <x v="59"/>
    <d v="2023-03-29T00:00:00"/>
    <n v="115"/>
    <x v="0"/>
    <n v="737.81"/>
    <x v="246"/>
    <x v="232"/>
  </r>
  <r>
    <x v="4"/>
    <d v="2023-03-29T00:00:00"/>
    <s v="Bill"/>
    <n v="70144504"/>
    <x v="59"/>
    <d v="2023-03-29T00:00:00"/>
    <n v="115"/>
    <x v="0"/>
    <n v="732.01"/>
    <x v="247"/>
    <x v="233"/>
  </r>
  <r>
    <x v="4"/>
    <d v="2023-03-29T00:00:00"/>
    <s v="Bill"/>
    <n v="70144510"/>
    <x v="59"/>
    <d v="2023-03-29T00:00:00"/>
    <n v="115"/>
    <x v="0"/>
    <n v="732.01"/>
    <x v="247"/>
    <x v="233"/>
  </r>
  <r>
    <x v="4"/>
    <d v="2023-03-29T00:00:00"/>
    <s v="Bill"/>
    <n v="70144512"/>
    <x v="59"/>
    <d v="2023-03-29T00:00:00"/>
    <n v="115"/>
    <x v="0"/>
    <n v="732.01"/>
    <x v="247"/>
    <x v="233"/>
  </r>
  <r>
    <x v="4"/>
    <d v="2023-03-29T00:00:00"/>
    <s v="Bill"/>
    <n v="70144514"/>
    <x v="59"/>
    <d v="2023-03-29T00:00:00"/>
    <n v="115"/>
    <x v="0"/>
    <n v="732.01"/>
    <x v="247"/>
    <x v="233"/>
  </r>
  <r>
    <x v="4"/>
    <d v="2023-02-28T00:00:00"/>
    <s v="Bill"/>
    <n v="13821"/>
    <x v="32"/>
    <d v="2023-03-30T00:00:00"/>
    <n v="114"/>
    <x v="0"/>
    <n v="225"/>
    <x v="102"/>
    <x v="102"/>
  </r>
  <r>
    <x v="4"/>
    <d v="2023-03-31T00:00:00"/>
    <s v="Bill"/>
    <s v="AC899751"/>
    <x v="9"/>
    <d v="2023-03-31T00:00:00"/>
    <n v="113"/>
    <x v="0"/>
    <n v="500"/>
    <x v="38"/>
    <x v="38"/>
  </r>
  <r>
    <x v="4"/>
    <d v="2023-03-31T00:00:00"/>
    <s v="Bill"/>
    <s v="AC899752"/>
    <x v="9"/>
    <d v="2023-03-31T00:00:00"/>
    <n v="113"/>
    <x v="0"/>
    <n v="500"/>
    <x v="38"/>
    <x v="38"/>
  </r>
  <r>
    <x v="4"/>
    <d v="2023-03-31T00:00:00"/>
    <s v="Bill"/>
    <s v="AC899753"/>
    <x v="9"/>
    <d v="2023-03-31T00:00:00"/>
    <n v="113"/>
    <x v="0"/>
    <n v="500"/>
    <x v="38"/>
    <x v="38"/>
  </r>
  <r>
    <x v="4"/>
    <d v="2023-03-31T00:00:00"/>
    <s v="Bill"/>
    <s v="AC899754"/>
    <x v="9"/>
    <d v="2023-03-31T00:00:00"/>
    <n v="113"/>
    <x v="0"/>
    <n v="500"/>
    <x v="38"/>
    <x v="38"/>
  </r>
  <r>
    <x v="4"/>
    <d v="2023-04-07T00:00:00"/>
    <s v="Bill"/>
    <n v="1019"/>
    <x v="60"/>
    <d v="2023-04-07T00:00:00"/>
    <n v="106"/>
    <x v="0"/>
    <n v="636.75"/>
    <x v="248"/>
    <x v="234"/>
  </r>
  <r>
    <x v="4"/>
    <d v="2023-04-05T00:00:00"/>
    <s v="Bill"/>
    <n v="1025"/>
    <x v="61"/>
    <d v="2023-04-08T00:00:00"/>
    <n v="105"/>
    <x v="0"/>
    <n v="7630"/>
    <x v="249"/>
    <x v="235"/>
  </r>
  <r>
    <x v="4"/>
    <d v="2023-04-01T00:00:00"/>
    <s v="Bill"/>
    <n v="26631"/>
    <x v="1"/>
    <d v="2023-04-16T00:00:00"/>
    <n v="97"/>
    <x v="0"/>
    <n v="300"/>
    <x v="1"/>
    <x v="1"/>
  </r>
  <r>
    <x v="4"/>
    <d v="2023-03-29T00:00:00"/>
    <s v="Bill"/>
    <n v="3314"/>
    <x v="20"/>
    <d v="2023-04-28T00:00:00"/>
    <n v="85"/>
    <x v="1"/>
    <n v="490"/>
    <x v="250"/>
    <x v="9"/>
  </r>
  <r>
    <x v="4"/>
    <d v="2023-03-31T00:00:00"/>
    <s v="Bill"/>
    <n v="1698915"/>
    <x v="56"/>
    <d v="2023-04-30T00:00:00"/>
    <n v="83"/>
    <x v="1"/>
    <n v="186.84"/>
    <x v="251"/>
    <x v="9"/>
  </r>
  <r>
    <x v="4"/>
    <d v="2023-04-20T00:00:00"/>
    <s v="Bill"/>
    <s v="INV-MP5041"/>
    <x v="49"/>
    <d v="2023-05-05T00:00:00"/>
    <n v="78"/>
    <x v="1"/>
    <n v="2897.5"/>
    <x v="252"/>
    <x v="9"/>
  </r>
  <r>
    <x v="4"/>
    <d v="2023-05-18T00:00:00"/>
    <s v="Journal Entry"/>
    <s v="To WonderBro from8830"/>
    <x v="61"/>
    <d v="2023-05-18T00:00:00"/>
    <n v="65"/>
    <x v="1"/>
    <n v="-4000"/>
    <x v="253"/>
    <x v="9"/>
  </r>
  <r>
    <x v="4"/>
    <d v="2023-04-27T00:00:00"/>
    <s v="Bill"/>
    <n v="44964"/>
    <x v="0"/>
    <d v="2023-05-27T00:00:00"/>
    <n v="56"/>
    <x v="2"/>
    <n v="300"/>
    <x v="1"/>
    <x v="9"/>
  </r>
  <r>
    <x v="4"/>
    <d v="2023-04-28T00:00:00"/>
    <s v="Bill"/>
    <n v="9335"/>
    <x v="35"/>
    <d v="2023-05-28T00:00:00"/>
    <n v="55"/>
    <x v="2"/>
    <n v="2273.25"/>
    <x v="111"/>
    <x v="9"/>
  </r>
  <r>
    <x v="4"/>
    <d v="2023-04-30T00:00:00"/>
    <s v="Bill"/>
    <n v="1701880"/>
    <x v="56"/>
    <d v="2023-05-30T00:00:00"/>
    <n v="53"/>
    <x v="2"/>
    <n v="186.84"/>
    <x v="251"/>
    <x v="9"/>
  </r>
  <r>
    <x v="4"/>
    <d v="2023-05-31T00:00:00"/>
    <s v="Bill"/>
    <n v="1705945"/>
    <x v="62"/>
    <d v="2023-05-31T00:00:00"/>
    <n v="52"/>
    <x v="2"/>
    <n v="186.84"/>
    <x v="251"/>
    <x v="9"/>
  </r>
  <r>
    <x v="4"/>
    <d v="2023-06-02T00:00:00"/>
    <s v="Bill"/>
    <n v="1031"/>
    <x v="61"/>
    <d v="2023-06-02T00:00:00"/>
    <n v="50"/>
    <x v="2"/>
    <n v="4530"/>
    <x v="254"/>
    <x v="9"/>
  </r>
  <r>
    <x v="4"/>
    <d v="2023-05-22T00:00:00"/>
    <s v="Bill"/>
    <s v="INV-MP5271"/>
    <x v="49"/>
    <d v="2023-06-06T00:00:00"/>
    <n v="46"/>
    <x v="2"/>
    <n v="1975"/>
    <x v="255"/>
    <x v="9"/>
  </r>
  <r>
    <x v="4"/>
    <d v="2023-06-07T00:00:00"/>
    <s v="Bill"/>
    <s v="INV0156"/>
    <x v="63"/>
    <d v="2023-06-07T00:00:00"/>
    <n v="45"/>
    <x v="2"/>
    <n v="4825"/>
    <x v="256"/>
    <x v="9"/>
  </r>
  <r>
    <x v="4"/>
    <d v="2023-06-30T00:00:00"/>
    <s v="Bill"/>
    <s v="INV-MP5566"/>
    <x v="49"/>
    <d v="2023-06-30T00:00:00"/>
    <n v="22"/>
    <x v="3"/>
    <n v="1861.25"/>
    <x v="257"/>
    <x v="9"/>
  </r>
  <r>
    <x v="4"/>
    <d v="2023-06-30T00:00:00"/>
    <s v="Bill"/>
    <n v="1709351"/>
    <x v="56"/>
    <d v="2023-07-30T00:00:00"/>
    <n v="-8"/>
    <x v="4"/>
    <n v="186.84"/>
    <x v="251"/>
    <x v="9"/>
  </r>
  <r>
    <x v="4"/>
    <d v="2022-08-02T00:00:00"/>
    <s v="Vendor Credit"/>
    <n v="4078"/>
    <x v="10"/>
    <m/>
    <n v="0"/>
    <x v="4"/>
    <n v="-15276.24"/>
    <x v="258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63">
  <r>
    <x v="0"/>
    <d v="2022-06-30T00:00:00"/>
    <s v="Bill"/>
    <n v="7488"/>
    <s v="Stormcon LLC"/>
    <d v="2022-06-30T00:00:00"/>
    <n v="387"/>
    <s v="91+ days"/>
    <n v="1000"/>
    <n v="1000"/>
  </r>
  <r>
    <x v="0"/>
    <d v="2022-09-01T00:00:00"/>
    <s v="Bill"/>
    <n v="25779"/>
    <s v="BAKER CLEARVIEW OPERATING, LLC"/>
    <d v="2022-09-16T00:00:00"/>
    <n v="309"/>
    <s v="91+ days"/>
    <n v="300"/>
    <n v="300"/>
  </r>
  <r>
    <x v="0"/>
    <d v="2022-10-10T00:00:00"/>
    <s v="Bill"/>
    <n v="221013"/>
    <s v="The ROBINSON Law Firm"/>
    <d v="2022-10-10T00:00:00"/>
    <n v="285"/>
    <s v="91+ days"/>
    <n v="1411"/>
    <n v="1411"/>
  </r>
  <r>
    <x v="0"/>
    <d v="2022-10-10T00:00:00"/>
    <s v="Bill"/>
    <n v="221017"/>
    <s v="The ROBINSON Law Firm"/>
    <d v="2022-10-10T00:00:00"/>
    <n v="285"/>
    <s v="91+ days"/>
    <n v="1000"/>
    <n v="1000"/>
  </r>
  <r>
    <x v="0"/>
    <d v="2022-10-17T00:00:00"/>
    <s v="Bill"/>
    <s v="0070968819-IN"/>
    <s v="Hyphen Solution"/>
    <d v="2022-10-17T00:00:00"/>
    <n v="278"/>
    <s v="91+ days"/>
    <n v="10723.96"/>
    <n v="10723.96"/>
  </r>
  <r>
    <x v="0"/>
    <d v="2022-10-17T00:00:00"/>
    <s v="Bill"/>
    <s v="0070968625-IN"/>
    <s v="Hyphen Solution"/>
    <d v="2022-10-17T00:00:00"/>
    <n v="278"/>
    <s v="91+ days"/>
    <n v="1599"/>
    <n v="1599"/>
  </r>
  <r>
    <x v="0"/>
    <d v="2022-10-17T00:00:00"/>
    <s v="Bill"/>
    <s v="0070968624-IN"/>
    <s v="Hyphen Solution"/>
    <d v="2022-10-17T00:00:00"/>
    <n v="278"/>
    <s v="91+ days"/>
    <n v="533"/>
    <n v="533"/>
  </r>
  <r>
    <x v="0"/>
    <d v="2022-11-15T00:00:00"/>
    <s v="Bill"/>
    <s v="0070985682-IN"/>
    <s v="Hyphen Solution"/>
    <d v="2022-11-15T00:00:00"/>
    <n v="249"/>
    <s v="91+ days"/>
    <n v="6118.84"/>
    <n v="6118.84"/>
  </r>
  <r>
    <x v="0"/>
    <d v="2022-11-15T00:00:00"/>
    <s v="Bill"/>
    <s v="0070985329-IN"/>
    <s v="Hyphen Solution"/>
    <d v="2022-11-15T00:00:00"/>
    <n v="249"/>
    <s v="91+ days"/>
    <n v="932.75"/>
    <n v="932.75"/>
  </r>
  <r>
    <x v="0"/>
    <d v="2022-11-15T00:00:00"/>
    <s v="Bill"/>
    <s v="0070985328-IN"/>
    <s v="Hyphen Solution"/>
    <d v="2022-11-15T00:00:00"/>
    <n v="249"/>
    <s v="91+ days"/>
    <n v="799.5"/>
    <n v="799.5"/>
  </r>
  <r>
    <x v="0"/>
    <d v="2022-11-01T00:00:00"/>
    <s v="Bill"/>
    <n v="26039"/>
    <s v="BAKER CLEARVIEW OPERATING, LLC"/>
    <d v="2022-11-16T00:00:00"/>
    <n v="248"/>
    <s v="91+ days"/>
    <n v="300"/>
    <n v="300"/>
  </r>
  <r>
    <x v="0"/>
    <d v="2022-12-15T00:00:00"/>
    <s v="Bill"/>
    <s v="0071002271-IN"/>
    <s v="Hyphen Solution"/>
    <d v="2022-12-15T00:00:00"/>
    <n v="219"/>
    <s v="91+ days"/>
    <n v="6118.84"/>
    <n v="6118.84"/>
  </r>
  <r>
    <x v="0"/>
    <d v="2022-12-15T00:00:00"/>
    <s v="Bill"/>
    <s v="0071002686-IN"/>
    <s v="Hyphen Solution"/>
    <d v="2022-12-15T00:00:00"/>
    <n v="219"/>
    <s v="91+ days"/>
    <n v="932.75"/>
    <n v="932.75"/>
  </r>
  <r>
    <x v="0"/>
    <d v="2023-01-15T00:00:00"/>
    <s v="Bill"/>
    <s v="0071019491-IN"/>
    <s v="Hyphen Solution"/>
    <d v="2023-01-15T00:00:00"/>
    <n v="188"/>
    <s v="91+ days"/>
    <n v="6118.84"/>
    <n v="6118.84"/>
  </r>
  <r>
    <x v="0"/>
    <d v="2023-02-15T00:00:00"/>
    <s v="Bill"/>
    <n v="71021740"/>
    <s v="Hyphen Solution"/>
    <d v="2023-02-15T00:00:00"/>
    <n v="157"/>
    <s v="91+ days"/>
    <n v="6118.84"/>
    <n v="6118.84"/>
  </r>
  <r>
    <x v="0"/>
    <d v="2023-03-15T00:00:00"/>
    <s v="Bill"/>
    <s v="0071039015-IN"/>
    <s v="Hyphen Solution"/>
    <d v="2023-03-15T00:00:00"/>
    <n v="129"/>
    <s v="91+ days"/>
    <n v="6118.84"/>
    <n v="6118.84"/>
  </r>
  <r>
    <x v="0"/>
    <d v="2023-03-01T00:00:00"/>
    <s v="Bill"/>
    <n v="26505"/>
    <s v="BAKER CLEARVIEW OPERATING, LLC"/>
    <d v="2023-03-16T00:00:00"/>
    <n v="128"/>
    <s v="91+ days"/>
    <n v="300"/>
    <n v="300"/>
  </r>
  <r>
    <x v="0"/>
    <d v="2023-04-14T00:00:00"/>
    <s v="Bill"/>
    <s v="0071056471-IN"/>
    <s v="Hyphen Solution"/>
    <d v="2023-04-14T00:00:00"/>
    <n v="99"/>
    <s v="91+ days"/>
    <n v="6118.84"/>
    <n v="6118.84"/>
  </r>
  <r>
    <x v="0"/>
    <d v="2023-05-15T00:00:00"/>
    <s v="Bill"/>
    <s v="0071074028-IN"/>
    <s v="Hyphen Solution"/>
    <d v="2023-05-15T00:00:00"/>
    <n v="68"/>
    <s v="61-90 days"/>
    <n v="6118.84"/>
    <n v="6118.84"/>
  </r>
  <r>
    <x v="0"/>
    <d v="2023-06-15T00:00:00"/>
    <s v="Bill"/>
    <s v="0071091788-IN"/>
    <s v="Hyphen Solution"/>
    <d v="2023-06-15T00:00:00"/>
    <n v="37"/>
    <s v="31-60 days"/>
    <n v="6118.84"/>
    <n v="6118.84"/>
  </r>
  <r>
    <x v="0"/>
    <d v="2023-07-14T00:00:00"/>
    <s v="Bill"/>
    <s v="0071110291-IN"/>
    <s v="Hyphen Solution"/>
    <d v="2023-07-14T00:00:00"/>
    <n v="8"/>
    <s v="1-30 days"/>
    <n v="6302.41"/>
    <n v="6302.41"/>
  </r>
  <r>
    <x v="1"/>
    <d v="2021-12-31T00:00:00"/>
    <s v="Bill"/>
    <s v="DC21599-3871"/>
    <s v="Alliance Geotechnical Group Inc"/>
    <d v="2021-12-31T00:00:00"/>
    <n v="568"/>
    <s v="91+ days"/>
    <n v="2172"/>
    <n v="2172"/>
  </r>
  <r>
    <x v="1"/>
    <d v="2022-01-31T00:00:00"/>
    <s v="Bill"/>
    <s v="DC21599-0309"/>
    <s v="Alliance Geotechnical Group Inc"/>
    <d v="2022-01-31T00:00:00"/>
    <n v="537"/>
    <s v="91+ days"/>
    <n v="2381.5"/>
    <n v="2381.5"/>
  </r>
  <r>
    <x v="1"/>
    <d v="2022-02-28T00:00:00"/>
    <s v="Bill"/>
    <s v="DC21599-0536"/>
    <s v="Alliance Geotechnical Group Inc"/>
    <d v="2022-02-28T00:00:00"/>
    <n v="509"/>
    <s v="91+ days"/>
    <n v="414"/>
    <n v="414"/>
  </r>
  <r>
    <x v="1"/>
    <d v="2022-03-31T00:00:00"/>
    <s v="Bill"/>
    <s v="DC21599-0849"/>
    <s v="Alliance Geotechnical Group Inc"/>
    <d v="2022-03-31T00:00:00"/>
    <n v="478"/>
    <s v="91+ days"/>
    <n v="6668"/>
    <n v="6668"/>
  </r>
  <r>
    <x v="1"/>
    <d v="2022-04-20T00:00:00"/>
    <s v="Bill"/>
    <n v="3456"/>
    <s v="Geoscience Engineers, LLC"/>
    <d v="2022-04-20T00:00:00"/>
    <n v="458"/>
    <s v="91+ days"/>
    <n v="1662.75"/>
    <n v="1662.75"/>
  </r>
  <r>
    <x v="1"/>
    <d v="2022-03-31T00:00:00"/>
    <s v="Bill"/>
    <s v="2022-183"/>
    <s v="Pipeline Land Service Inc"/>
    <d v="2022-04-30T00:00:00"/>
    <n v="448"/>
    <s v="91+ days"/>
    <n v="2760.38"/>
    <n v="2760.38"/>
  </r>
  <r>
    <x v="1"/>
    <d v="2022-04-30T00:00:00"/>
    <s v="Bill"/>
    <s v="DC21599-1206"/>
    <s v="Alliance Geotechnical Group Inc"/>
    <d v="2022-04-30T00:00:00"/>
    <n v="448"/>
    <s v="91+ days"/>
    <n v="5666"/>
    <n v="5666"/>
  </r>
  <r>
    <x v="1"/>
    <d v="2022-05-05T00:00:00"/>
    <s v="Bill"/>
    <n v="3499"/>
    <s v="Geoscience Engineers, LLC"/>
    <d v="2022-05-05T00:00:00"/>
    <n v="443"/>
    <s v="91+ days"/>
    <n v="700"/>
    <n v="700"/>
  </r>
  <r>
    <x v="1"/>
    <d v="2022-05-02T00:00:00"/>
    <s v="Bill"/>
    <s v="2022-246"/>
    <s v="Pipeline Land Service Inc"/>
    <d v="2022-06-01T00:00:00"/>
    <n v="416"/>
    <s v="91+ days"/>
    <n v="4240"/>
    <n v="4240"/>
  </r>
  <r>
    <x v="1"/>
    <d v="2022-05-27T00:00:00"/>
    <s v="Bill"/>
    <s v="INV014592"/>
    <s v="Trinity Green Services, LLC"/>
    <d v="2022-06-26T00:00:00"/>
    <n v="391"/>
    <s v="91+ days"/>
    <n v="280"/>
    <n v="280"/>
  </r>
  <r>
    <x v="1"/>
    <d v="2022-06-02T00:00:00"/>
    <s v="Bill"/>
    <n v="17304"/>
    <s v="JDJR ENGINEERS &amp; CONSULTANTS, INC"/>
    <d v="2022-06-30T00:00:00"/>
    <n v="387"/>
    <s v="91+ days"/>
    <n v="4250"/>
    <n v="4250"/>
  </r>
  <r>
    <x v="1"/>
    <d v="2022-06-30T00:00:00"/>
    <s v="Bill"/>
    <s v="DC21599-1773"/>
    <s v="Alliance Geotechnical Group Inc"/>
    <d v="2022-06-30T00:00:00"/>
    <n v="387"/>
    <s v="91+ days"/>
    <n v="5959.5"/>
    <n v="5959.5"/>
  </r>
  <r>
    <x v="1"/>
    <d v="2022-07-13T00:00:00"/>
    <s v="Bill"/>
    <s v="AC894882"/>
    <s v="Roome Land Surveying"/>
    <d v="2022-07-13T00:00:00"/>
    <n v="374"/>
    <s v="91+ days"/>
    <n v="450"/>
    <n v="450"/>
  </r>
  <r>
    <x v="1"/>
    <d v="2022-06-27T00:00:00"/>
    <s v="Bill"/>
    <s v="INV016216"/>
    <s v="Trinity Green Services, LLC"/>
    <d v="2022-07-27T00:00:00"/>
    <n v="360"/>
    <s v="91+ days"/>
    <n v="280"/>
    <n v="280"/>
  </r>
  <r>
    <x v="1"/>
    <d v="2022-07-28T00:00:00"/>
    <s v="Bill"/>
    <n v="81846"/>
    <s v="Oldham Lumber Company"/>
    <d v="2022-08-07T00:00:00"/>
    <n v="349"/>
    <s v="91+ days"/>
    <n v="53611.56"/>
    <n v="53611.56"/>
  </r>
  <r>
    <x v="1"/>
    <d v="2022-07-29T00:00:00"/>
    <s v="Bill"/>
    <n v="82006"/>
    <s v="Oldham Lumber Company"/>
    <d v="2022-08-08T00:00:00"/>
    <n v="348"/>
    <s v="91+ days"/>
    <n v="42166.11"/>
    <n v="42166.11"/>
  </r>
  <r>
    <x v="1"/>
    <d v="2022-07-29T00:00:00"/>
    <s v="Bill"/>
    <n v="82076"/>
    <s v="Oldham Lumber Company"/>
    <d v="2022-08-08T00:00:00"/>
    <n v="348"/>
    <s v="91+ days"/>
    <n v="38578.480000000003"/>
    <n v="38578.480000000003"/>
  </r>
  <r>
    <x v="1"/>
    <d v="2022-07-29T00:00:00"/>
    <s v="Bill"/>
    <n v="82170"/>
    <s v="Oldham Lumber Company"/>
    <d v="2022-08-08T00:00:00"/>
    <n v="348"/>
    <s v="91+ days"/>
    <n v="15873.78"/>
    <n v="15873.78"/>
  </r>
  <r>
    <x v="1"/>
    <d v="2022-07-14T00:00:00"/>
    <s v="Bill"/>
    <n v="22059"/>
    <s v="SYB CONSTRUCTION COMPANY,INC"/>
    <d v="2022-08-13T00:00:00"/>
    <n v="343"/>
    <s v="91+ days"/>
    <n v="55"/>
    <n v="55"/>
  </r>
  <r>
    <x v="1"/>
    <d v="2022-08-17T00:00:00"/>
    <s v="Bill"/>
    <n v="918"/>
    <s v="INDIA ASSOCIATION OF NORTH TEXAS"/>
    <d v="2022-08-17T00:00:00"/>
    <n v="339"/>
    <s v="91+ days"/>
    <n v="3500"/>
    <n v="3500"/>
  </r>
  <r>
    <x v="1"/>
    <d v="2022-08-11T00:00:00"/>
    <s v="Bill"/>
    <n v="83434"/>
    <s v="Oldham Lumber Company"/>
    <d v="2022-08-21T00:00:00"/>
    <n v="335"/>
    <s v="91+ days"/>
    <n v="583"/>
    <n v="583"/>
  </r>
  <r>
    <x v="1"/>
    <d v="2022-07-27T00:00:00"/>
    <s v="Bill"/>
    <s v="INV017642"/>
    <s v="Trinity Green Services, LLC"/>
    <d v="2022-08-26T00:00:00"/>
    <n v="330"/>
    <s v="91+ days"/>
    <n v="280"/>
    <n v="280"/>
  </r>
  <r>
    <x v="1"/>
    <d v="2022-08-18T00:00:00"/>
    <s v="Bill"/>
    <n v="84256"/>
    <s v="Oldham Lumber Company"/>
    <d v="2022-08-28T00:00:00"/>
    <n v="328"/>
    <s v="91+ days"/>
    <n v="57210.13"/>
    <n v="57210.13"/>
  </r>
  <r>
    <x v="1"/>
    <d v="2022-08-28T00:00:00"/>
    <s v="Bill"/>
    <n v="220801"/>
    <s v="The ROBINSON Law Firm"/>
    <d v="2022-08-28T00:00:00"/>
    <n v="328"/>
    <s v="91+ days"/>
    <n v="1125"/>
    <n v="1125"/>
  </r>
  <r>
    <x v="1"/>
    <d v="2022-08-20T00:00:00"/>
    <s v="Bill"/>
    <n v="84496"/>
    <s v="Oldham Lumber Company"/>
    <d v="2022-08-30T00:00:00"/>
    <n v="326"/>
    <s v="91+ days"/>
    <n v="9118.98"/>
    <n v="9118.98"/>
  </r>
  <r>
    <x v="1"/>
    <d v="2022-08-17T00:00:00"/>
    <s v="Bill"/>
    <s v="INAF10023935"/>
    <s v="Michael Page International Inc"/>
    <d v="2022-09-01T00:00:00"/>
    <n v="324"/>
    <s v="91+ days"/>
    <n v="12825"/>
    <n v="12825"/>
  </r>
  <r>
    <x v="1"/>
    <d v="2022-08-22T00:00:00"/>
    <s v="Bill"/>
    <n v="84586"/>
    <s v="Oldham Lumber Company"/>
    <d v="2022-09-01T00:00:00"/>
    <n v="324"/>
    <s v="91+ days"/>
    <n v="276.25"/>
    <n v="276.25"/>
  </r>
  <r>
    <x v="1"/>
    <d v="2022-08-25T00:00:00"/>
    <s v="Bill"/>
    <n v="85056"/>
    <s v="Oldham Lumber Company"/>
    <d v="2022-09-04T00:00:00"/>
    <n v="321"/>
    <s v="91+ days"/>
    <n v="52990.54"/>
    <n v="52990.54"/>
  </r>
  <r>
    <x v="1"/>
    <d v="2022-08-26T00:00:00"/>
    <s v="Bill"/>
    <n v="85247"/>
    <s v="Oldham Lumber Company"/>
    <d v="2022-09-05T00:00:00"/>
    <n v="320"/>
    <s v="91+ days"/>
    <n v="4222.57"/>
    <n v="4222.57"/>
  </r>
  <r>
    <x v="1"/>
    <d v="2022-08-30T00:00:00"/>
    <s v="Bill"/>
    <n v="85658"/>
    <s v="Oldham Lumber Company"/>
    <d v="2022-09-09T00:00:00"/>
    <n v="316"/>
    <s v="91+ days"/>
    <n v="6106.85"/>
    <n v="6106.85"/>
  </r>
  <r>
    <x v="1"/>
    <d v="2022-09-18T00:00:00"/>
    <s v="Bill"/>
    <n v="620697"/>
    <s v="Potter Concrete Residential Ltd"/>
    <d v="2022-09-18T00:00:00"/>
    <n v="307"/>
    <s v="91+ days"/>
    <n v="500"/>
    <n v="500"/>
  </r>
  <r>
    <x v="1"/>
    <d v="2022-09-10T00:00:00"/>
    <s v="Bill"/>
    <n v="87022"/>
    <s v="Oldham Lumber Company"/>
    <d v="2022-09-20T00:00:00"/>
    <n v="305"/>
    <s v="91+ days"/>
    <n v="9327.7999999999993"/>
    <n v="9327.7999999999993"/>
  </r>
  <r>
    <x v="1"/>
    <d v="2022-08-27T00:00:00"/>
    <s v="Bill"/>
    <s v="INV019935"/>
    <s v="Trinity Green Services, LLC"/>
    <d v="2022-09-26T00:00:00"/>
    <n v="299"/>
    <s v="91+ days"/>
    <n v="280"/>
    <n v="280"/>
  </r>
  <r>
    <x v="1"/>
    <d v="2022-09-19T00:00:00"/>
    <s v="Bill"/>
    <n v="88108"/>
    <s v="Oldham Lumber Company"/>
    <d v="2022-09-29T00:00:00"/>
    <n v="296"/>
    <s v="91+ days"/>
    <n v="2133.8200000000002"/>
    <n v="2133.8200000000002"/>
  </r>
  <r>
    <x v="1"/>
    <d v="2022-09-30T00:00:00"/>
    <s v="Bill"/>
    <s v="AC898030"/>
    <s v="Roome Land Surveying"/>
    <d v="2022-09-30T00:00:00"/>
    <n v="295"/>
    <s v="91+ days"/>
    <n v="350"/>
    <n v="350"/>
  </r>
  <r>
    <x v="1"/>
    <d v="2022-09-30T00:00:00"/>
    <s v="Bill"/>
    <n v="90102"/>
    <s v="Oldham Lumber Company"/>
    <d v="2022-10-10T00:00:00"/>
    <n v="285"/>
    <s v="91+ days"/>
    <n v="25330.5"/>
    <n v="25330.5"/>
  </r>
  <r>
    <x v="1"/>
    <d v="2022-09-30T00:00:00"/>
    <s v="Bill"/>
    <n v="90003"/>
    <s v="Oldham Lumber Company"/>
    <d v="2022-10-10T00:00:00"/>
    <n v="285"/>
    <s v="91+ days"/>
    <n v="667.54"/>
    <n v="667.54"/>
  </r>
  <r>
    <x v="1"/>
    <d v="2022-10-10T00:00:00"/>
    <s v="Bill"/>
    <n v="221002"/>
    <s v="The ROBINSON Law Firm"/>
    <d v="2022-10-10T00:00:00"/>
    <n v="285"/>
    <s v="91+ days"/>
    <n v="1575"/>
    <n v="1575"/>
  </r>
  <r>
    <x v="1"/>
    <d v="2022-09-11T00:00:00"/>
    <s v="Bill"/>
    <s v="INV000152009"/>
    <s v="Childress Engineering Services, Inc"/>
    <d v="2022-10-11T00:00:00"/>
    <n v="284"/>
    <s v="91+ days"/>
    <n v="9856.7999999999993"/>
    <n v="9856.7999999999993"/>
  </r>
  <r>
    <x v="1"/>
    <d v="2022-09-11T00:00:00"/>
    <s v="Bill"/>
    <s v="INV000152008"/>
    <s v="Childress Engineering Services, Inc"/>
    <d v="2022-10-11T00:00:00"/>
    <n v="284"/>
    <s v="91+ days"/>
    <n v="8790.4"/>
    <n v="4420.3999999999996"/>
  </r>
  <r>
    <x v="1"/>
    <d v="2022-09-11T00:00:00"/>
    <s v="Bill"/>
    <s v="INV000152010"/>
    <s v="Childress Engineering Services, Inc"/>
    <d v="2022-10-11T00:00:00"/>
    <n v="284"/>
    <s v="91+ days"/>
    <n v="8656"/>
    <n v="8656"/>
  </r>
  <r>
    <x v="1"/>
    <d v="2022-10-12T00:00:00"/>
    <s v="Bill"/>
    <n v="4318"/>
    <s v="Geoscience Engineers, LLC"/>
    <d v="2022-10-12T00:00:00"/>
    <n v="283"/>
    <s v="91+ days"/>
    <n v="6017"/>
    <n v="6017"/>
  </r>
  <r>
    <x v="1"/>
    <d v="2022-09-14T00:00:00"/>
    <s v="Bill"/>
    <s v="INV020639"/>
    <s v="Trinity Green Services, LLC"/>
    <d v="2022-10-14T00:00:00"/>
    <n v="281"/>
    <s v="91+ days"/>
    <n v="75"/>
    <n v="75"/>
  </r>
  <r>
    <x v="1"/>
    <d v="2022-10-17T00:00:00"/>
    <s v="Bill"/>
    <s v="CR-22-202"/>
    <s v="Irving Texas"/>
    <d v="2022-10-17T00:00:00"/>
    <n v="278"/>
    <s v="91+ days"/>
    <n v="125"/>
    <n v="125"/>
  </r>
  <r>
    <x v="1"/>
    <d v="2022-10-20T00:00:00"/>
    <s v="Bill"/>
    <n v="105887"/>
    <s v="L&amp;S Mechanical - HVAC"/>
    <d v="2022-10-20T00:00:00"/>
    <n v="275"/>
    <s v="91+ days"/>
    <n v="300"/>
    <n v="300"/>
  </r>
  <r>
    <x v="1"/>
    <d v="2022-10-11T00:00:00"/>
    <s v="Bill"/>
    <n v="91137"/>
    <s v="Oldham Lumber Company"/>
    <d v="2022-10-21T00:00:00"/>
    <n v="274"/>
    <s v="91+ days"/>
    <n v="147.44"/>
    <n v="147.44"/>
  </r>
  <r>
    <x v="1"/>
    <d v="2022-10-26T00:00:00"/>
    <s v="Bill"/>
    <s v="INV000155644"/>
    <s v="Childress Engineering Services, Inc"/>
    <d v="2022-10-26T00:00:00"/>
    <n v="269"/>
    <s v="91+ days"/>
    <n v="1551.25"/>
    <n v="1551.25"/>
  </r>
  <r>
    <x v="1"/>
    <d v="2022-09-27T00:00:00"/>
    <s v="Bill"/>
    <s v="INV021096"/>
    <s v="Trinity Green Services, LLC"/>
    <d v="2022-10-27T00:00:00"/>
    <n v="268"/>
    <s v="91+ days"/>
    <n v="280"/>
    <n v="280"/>
  </r>
  <r>
    <x v="1"/>
    <d v="2022-10-18T00:00:00"/>
    <s v="Bill"/>
    <n v="165229"/>
    <s v="Millen Oil Company"/>
    <d v="2022-10-28T00:00:00"/>
    <n v="267"/>
    <s v="91+ days"/>
    <n v="422.66"/>
    <n v="422.66"/>
  </r>
  <r>
    <x v="1"/>
    <d v="2022-09-30T00:00:00"/>
    <s v="Bill"/>
    <n v="17391"/>
    <s v="JDJR ENGINEERS &amp; CONSULTANTS, INC"/>
    <d v="2022-10-30T00:00:00"/>
    <n v="265"/>
    <s v="91+ days"/>
    <n v="3750"/>
    <n v="3750"/>
  </r>
  <r>
    <x v="1"/>
    <d v="2022-10-01T00:00:00"/>
    <s v="Bill"/>
    <n v="10935140"/>
    <s v="ProStar Services Inc DBA Parks Coffee"/>
    <d v="2022-10-31T00:00:00"/>
    <n v="264"/>
    <s v="91+ days"/>
    <n v="162.38"/>
    <n v="162.38"/>
  </r>
  <r>
    <x v="1"/>
    <d v="2022-10-25T00:00:00"/>
    <s v="Bill"/>
    <n v="165470"/>
    <s v="Millen Oil Company"/>
    <d v="2022-11-04T00:00:00"/>
    <n v="260"/>
    <s v="91+ days"/>
    <n v="3675.51"/>
    <n v="3675.51"/>
  </r>
  <r>
    <x v="1"/>
    <d v="2022-11-08T00:00:00"/>
    <s v="Bill"/>
    <n v="4421"/>
    <s v="Geoscience Engineers, LLC"/>
    <d v="2022-11-08T00:00:00"/>
    <n v="256"/>
    <s v="91+ days"/>
    <n v="11435"/>
    <n v="11435"/>
  </r>
  <r>
    <x v="1"/>
    <d v="2022-10-12T00:00:00"/>
    <s v="Bill"/>
    <n v="2945"/>
    <s v="Texas Select Erosion"/>
    <d v="2022-11-11T00:00:00"/>
    <n v="253"/>
    <s v="91+ days"/>
    <n v="150"/>
    <n v="150"/>
  </r>
  <r>
    <x v="1"/>
    <d v="2022-11-02T00:00:00"/>
    <s v="Bill"/>
    <n v="165639"/>
    <s v="Millen Oil Company"/>
    <d v="2022-11-12T00:00:00"/>
    <n v="252"/>
    <s v="91+ days"/>
    <n v="4252.8100000000004"/>
    <n v="4252.8100000000004"/>
  </r>
  <r>
    <x v="1"/>
    <d v="2022-11-02T00:00:00"/>
    <s v="Bill"/>
    <n v="165654"/>
    <s v="Millen Oil Company"/>
    <d v="2022-11-12T00:00:00"/>
    <n v="252"/>
    <s v="91+ days"/>
    <n v="632.17999999999995"/>
    <n v="632.17999999999995"/>
  </r>
  <r>
    <x v="1"/>
    <d v="2022-10-14T00:00:00"/>
    <s v="Bill"/>
    <n v="10939541"/>
    <s v="ProStar Services Inc DBA Parks Coffee"/>
    <d v="2022-11-13T00:00:00"/>
    <n v="251"/>
    <s v="91+ days"/>
    <n v="363.45"/>
    <n v="363.45"/>
  </r>
  <r>
    <x v="1"/>
    <d v="2022-10-19T00:00:00"/>
    <s v="Bill"/>
    <n v="2958"/>
    <s v="Texas Select Erosion"/>
    <d v="2022-11-18T00:00:00"/>
    <n v="246"/>
    <s v="91+ days"/>
    <n v="1300"/>
    <n v="1300"/>
  </r>
  <r>
    <x v="1"/>
    <d v="2022-11-11T00:00:00"/>
    <s v="Bill"/>
    <n v="17410"/>
    <s v="JDJR ENGINEERS &amp; CONSULTANTS, INC"/>
    <d v="2022-11-21T00:00:00"/>
    <n v="243"/>
    <s v="91+ days"/>
    <n v="1070"/>
    <n v="1070"/>
  </r>
  <r>
    <x v="1"/>
    <d v="2022-10-27T00:00:00"/>
    <s v="Bill"/>
    <s v="INV023223"/>
    <s v="Trinity Green Services, LLC"/>
    <d v="2022-11-26T00:00:00"/>
    <n v="238"/>
    <s v="91+ days"/>
    <n v="280"/>
    <n v="280"/>
  </r>
  <r>
    <x v="1"/>
    <d v="2022-11-01T00:00:00"/>
    <s v="Bill"/>
    <n v="10949631"/>
    <s v="ProStar Services Inc DBA Parks Coffee"/>
    <d v="2022-12-01T00:00:00"/>
    <n v="233"/>
    <s v="91+ days"/>
    <n v="37.83"/>
    <n v="37.83"/>
  </r>
  <r>
    <x v="1"/>
    <d v="2022-11-02T00:00:00"/>
    <s v="Bill"/>
    <n v="2991"/>
    <s v="Texas Select Erosion"/>
    <d v="2022-12-02T00:00:00"/>
    <n v="232"/>
    <s v="91+ days"/>
    <n v="2463"/>
    <n v="2463"/>
  </r>
  <r>
    <x v="1"/>
    <d v="2022-11-02T00:00:00"/>
    <s v="Bill"/>
    <n v="10949349"/>
    <s v="ProStar Services Inc DBA Parks Coffee"/>
    <d v="2022-12-02T00:00:00"/>
    <n v="232"/>
    <s v="91+ days"/>
    <n v="119.01"/>
    <n v="119.01"/>
  </r>
  <r>
    <x v="1"/>
    <d v="2022-12-04T00:00:00"/>
    <s v="Bill"/>
    <n v="4501"/>
    <s v="Geoscience Engineers, LLC"/>
    <d v="2022-12-04T00:00:00"/>
    <n v="230"/>
    <s v="91+ days"/>
    <n v="5449"/>
    <n v="5449"/>
  </r>
  <r>
    <x v="1"/>
    <d v="2022-11-22T00:00:00"/>
    <s v="Bill"/>
    <n v="59112"/>
    <s v="AlphaGraphics"/>
    <d v="2022-12-07T00:00:00"/>
    <n v="227"/>
    <s v="91+ days"/>
    <n v="96.13"/>
    <n v="96.13"/>
  </r>
  <r>
    <x v="1"/>
    <d v="2022-11-22T00:00:00"/>
    <s v="Bill"/>
    <n v="59204"/>
    <s v="AlphaGraphics"/>
    <d v="2022-12-07T00:00:00"/>
    <n v="227"/>
    <s v="91+ days"/>
    <n v="45.64"/>
    <n v="45.64"/>
  </r>
  <r>
    <x v="1"/>
    <d v="2022-11-09T00:00:00"/>
    <s v="Bill"/>
    <n v="3020"/>
    <s v="Texas Select Erosion"/>
    <d v="2022-12-09T00:00:00"/>
    <n v="225"/>
    <s v="91+ days"/>
    <n v="789.5"/>
    <n v="789.5"/>
  </r>
  <r>
    <x v="1"/>
    <d v="2022-11-09T00:00:00"/>
    <s v="Bill"/>
    <s v="INV023980"/>
    <s v="Trinity Green Services, LLC"/>
    <d v="2022-12-09T00:00:00"/>
    <n v="225"/>
    <s v="91+ days"/>
    <n v="75"/>
    <n v="75"/>
  </r>
  <r>
    <x v="1"/>
    <d v="2022-11-09T00:00:00"/>
    <s v="Bill"/>
    <s v="INV023985"/>
    <s v="Trinity Green Services, LLC"/>
    <d v="2022-12-09T00:00:00"/>
    <n v="225"/>
    <s v="91+ days"/>
    <n v="75"/>
    <n v="75"/>
  </r>
  <r>
    <x v="1"/>
    <d v="2022-12-09T00:00:00"/>
    <s v="Bill"/>
    <n v="4530"/>
    <s v="Geoscience Engineers, LLC"/>
    <d v="2022-12-09T00:00:00"/>
    <n v="225"/>
    <s v="91+ days"/>
    <n v="2744"/>
    <n v="2744"/>
  </r>
  <r>
    <x v="1"/>
    <d v="2022-11-22T00:00:00"/>
    <s v="Bill"/>
    <n v="59219"/>
    <s v="AlphaGraphics"/>
    <d v="2022-12-11T00:00:00"/>
    <n v="223"/>
    <s v="91+ days"/>
    <n v="162.99"/>
    <n v="162.99"/>
  </r>
  <r>
    <x v="1"/>
    <d v="2022-12-12T00:00:00"/>
    <s v="Bill"/>
    <n v="695662"/>
    <s v="B.G. Grading LLC"/>
    <d v="2022-12-12T00:00:00"/>
    <n v="222"/>
    <s v="91+ days"/>
    <n v="400"/>
    <n v="400"/>
  </r>
  <r>
    <x v="1"/>
    <d v="2022-12-12T00:00:00"/>
    <s v="Bill"/>
    <n v="695664"/>
    <s v="B.G. Grading LLC"/>
    <d v="2022-12-12T00:00:00"/>
    <n v="222"/>
    <s v="91+ days"/>
    <n v="200"/>
    <n v="200"/>
  </r>
  <r>
    <x v="1"/>
    <d v="2022-12-15T00:00:00"/>
    <s v="Bill"/>
    <s v="202212-153"/>
    <s v="E NUE DESIGN"/>
    <d v="2022-12-15T00:00:00"/>
    <n v="219"/>
    <s v="91+ days"/>
    <n v="172.12"/>
    <n v="172.12"/>
  </r>
  <r>
    <x v="1"/>
    <d v="2022-11-22T00:00:00"/>
    <s v="Bill"/>
    <n v="59217"/>
    <s v="AlphaGraphics"/>
    <d v="2022-12-22T00:00:00"/>
    <n v="212"/>
    <s v="91+ days"/>
    <n v="141.4"/>
    <n v="141.4"/>
  </r>
  <r>
    <x v="1"/>
    <d v="2022-11-22T00:00:00"/>
    <s v="Bill"/>
    <n v="59213"/>
    <s v="AlphaGraphics"/>
    <d v="2022-12-22T00:00:00"/>
    <n v="212"/>
    <s v="91+ days"/>
    <n v="13.53"/>
    <n v="13.53"/>
  </r>
  <r>
    <x v="1"/>
    <d v="2022-11-27T00:00:00"/>
    <s v="Bill"/>
    <s v="INV024904"/>
    <s v="Trinity Green Services, LLC"/>
    <d v="2022-12-27T00:00:00"/>
    <n v="207"/>
    <s v="91+ days"/>
    <n v="280"/>
    <n v="280"/>
  </r>
  <r>
    <x v="1"/>
    <d v="2022-11-29T00:00:00"/>
    <s v="Bill"/>
    <s v="INV025214"/>
    <s v="Trinity Green Services, LLC"/>
    <d v="2022-12-29T00:00:00"/>
    <n v="205"/>
    <s v="91+ days"/>
    <n v="75"/>
    <n v="75"/>
  </r>
  <r>
    <x v="1"/>
    <d v="2022-11-29T00:00:00"/>
    <s v="Bill"/>
    <n v="10967493"/>
    <s v="ProStar Services Inc DBA Parks Coffee"/>
    <d v="2022-12-29T00:00:00"/>
    <n v="205"/>
    <s v="91+ days"/>
    <n v="37.83"/>
    <n v="37.83"/>
  </r>
  <r>
    <x v="1"/>
    <d v="2022-12-31T00:00:00"/>
    <s v="Journal Entry"/>
    <s v="Adj Engineers&amp;Builder"/>
    <s v="Engineers and Builders A/p"/>
    <d v="2022-12-31T00:00:00"/>
    <n v="203"/>
    <s v="91+ days"/>
    <n v="77179.850000000006"/>
    <n v="77179.850000000006"/>
  </r>
  <r>
    <x v="1"/>
    <d v="2022-12-31T00:00:00"/>
    <s v="Bill"/>
    <n v="524185"/>
    <s v="Bush Rudnicki Shelton PC"/>
    <d v="2022-12-31T00:00:00"/>
    <n v="203"/>
    <s v="91+ days"/>
    <n v="2360"/>
    <n v="2360"/>
  </r>
  <r>
    <x v="1"/>
    <d v="2023-01-03T00:00:00"/>
    <s v="Bill"/>
    <s v="9016418927"/>
    <s v="WILLSCOT"/>
    <d v="2023-01-03T00:00:00"/>
    <n v="200"/>
    <s v="91+ days"/>
    <n v="2184.0500000000002"/>
    <n v="2184.0500000000002"/>
  </r>
  <r>
    <x v="1"/>
    <d v="2022-10-31T00:00:00"/>
    <s v="Bill"/>
    <n v="26337"/>
    <s v="SPIARS ENGINEERING &amp; SURVEYING"/>
    <d v="2023-01-11T00:00:00"/>
    <n v="192"/>
    <s v="91+ days"/>
    <n v="11785.63"/>
    <n v="11785.63"/>
  </r>
  <r>
    <x v="1"/>
    <d v="2022-11-30T00:00:00"/>
    <s v="Bill"/>
    <n v="26388"/>
    <s v="SPIARS ENGINEERING &amp; SURVEYING"/>
    <d v="2023-01-12T00:00:00"/>
    <n v="191"/>
    <s v="91+ days"/>
    <n v="6298.75"/>
    <n v="6298.75"/>
  </r>
  <r>
    <x v="1"/>
    <d v="2022-12-13T00:00:00"/>
    <s v="Bill"/>
    <n v="10978016"/>
    <s v="ProStar Services Inc DBA Parks Coffee"/>
    <d v="2023-01-12T00:00:00"/>
    <n v="191"/>
    <s v="91+ days"/>
    <n v="112.26"/>
    <n v="112.26"/>
  </r>
  <r>
    <x v="1"/>
    <d v="2023-01-12T00:00:00"/>
    <s v="Bill"/>
    <s v="9016527823"/>
    <s v="WILLSCOT"/>
    <d v="2023-01-12T00:00:00"/>
    <n v="191"/>
    <s v="91+ days"/>
    <n v="4953.3900000000003"/>
    <n v="4953.3900000000003"/>
  </r>
  <r>
    <x v="1"/>
    <d v="2023-01-13T00:00:00"/>
    <s v="Bill"/>
    <n v="332396"/>
    <s v="Oralio Gelaso"/>
    <d v="2023-01-13T00:00:00"/>
    <n v="190"/>
    <s v="91+ days"/>
    <n v="4550"/>
    <n v="4550"/>
  </r>
  <r>
    <x v="1"/>
    <d v="2023-01-13T00:00:00"/>
    <s v="Bill"/>
    <s v="9016539883"/>
    <s v="WILLSCOT"/>
    <d v="2023-01-13T00:00:00"/>
    <n v="190"/>
    <s v="91+ days"/>
    <n v="1005.48"/>
    <n v="1005.48"/>
  </r>
  <r>
    <x v="1"/>
    <d v="2022-12-21T00:00:00"/>
    <s v="Bill"/>
    <n v="3125"/>
    <s v="Texas Select Erosion"/>
    <d v="2023-01-20T00:00:00"/>
    <n v="183"/>
    <s v="91+ days"/>
    <n v="1381"/>
    <n v="1381"/>
  </r>
  <r>
    <x v="1"/>
    <d v="2023-01-23T00:00:00"/>
    <s v="Bill"/>
    <s v="9016620316"/>
    <s v="WILLSCOT"/>
    <d v="2023-01-23T00:00:00"/>
    <n v="180"/>
    <s v="91+ days"/>
    <n v="405.94"/>
    <n v="405.94"/>
  </r>
  <r>
    <x v="1"/>
    <d v="2022-12-27T00:00:00"/>
    <s v="Bill"/>
    <s v="INV026527"/>
    <s v="Trinity Green Services, LLC"/>
    <d v="2023-01-26T00:00:00"/>
    <n v="177"/>
    <s v="91+ days"/>
    <n v="280"/>
    <n v="280"/>
  </r>
  <r>
    <x v="1"/>
    <d v="2023-01-01T00:00:00"/>
    <s v="Bill"/>
    <s v="INV05251220"/>
    <s v="Quench USA, Inc"/>
    <d v="2023-01-31T00:00:00"/>
    <n v="172"/>
    <s v="91+ days"/>
    <n v="126.65"/>
    <n v="126.65"/>
  </r>
  <r>
    <x v="1"/>
    <d v="2023-01-04T00:00:00"/>
    <s v="Bill"/>
    <n v="3141"/>
    <s v="Texas Select Erosion"/>
    <d v="2023-02-03T00:00:00"/>
    <n v="169"/>
    <s v="91+ days"/>
    <n v="520"/>
    <n v="520"/>
  </r>
  <r>
    <x v="1"/>
    <d v="2023-02-06T00:00:00"/>
    <s v="Bill"/>
    <n v="9681"/>
    <s v="Miller Services, Inc."/>
    <d v="2023-02-06T00:00:00"/>
    <n v="166"/>
    <s v="91+ days"/>
    <n v="5114.8100000000004"/>
    <n v="5114.8100000000004"/>
  </r>
  <r>
    <x v="1"/>
    <d v="2023-02-09T00:00:00"/>
    <s v="Bill"/>
    <s v="9016801491"/>
    <s v="WILLSCOT"/>
    <d v="2023-02-09T00:00:00"/>
    <n v="163"/>
    <s v="91+ days"/>
    <n v="2074.2800000000002"/>
    <n v="2074.2800000000002"/>
  </r>
  <r>
    <x v="1"/>
    <d v="2023-01-11T00:00:00"/>
    <s v="Bill"/>
    <n v="3148"/>
    <s v="Texas Select Erosion"/>
    <d v="2023-02-10T00:00:00"/>
    <n v="162"/>
    <s v="91+ days"/>
    <n v="3905"/>
    <n v="3905"/>
  </r>
  <r>
    <x v="1"/>
    <d v="2023-02-01T00:00:00"/>
    <s v="Bill"/>
    <n v="420439"/>
    <s v="ECI"/>
    <d v="2023-02-11T00:00:00"/>
    <n v="161"/>
    <s v="91+ days"/>
    <n v="554.32000000000005"/>
    <n v="554.32000000000005"/>
  </r>
  <r>
    <x v="1"/>
    <d v="2023-01-13T00:00:00"/>
    <s v="Bill"/>
    <n v="10993131"/>
    <s v="ProStar Services Inc DBA Parks Coffee"/>
    <d v="2023-02-12T00:00:00"/>
    <n v="160"/>
    <s v="91+ days"/>
    <n v="161.4"/>
    <n v="161.4"/>
  </r>
  <r>
    <x v="1"/>
    <d v="2022-12-31T00:00:00"/>
    <s v="Bill"/>
    <n v="26654"/>
    <s v="SPIARS ENGINEERING &amp; SURVEYING"/>
    <d v="2023-02-14T00:00:00"/>
    <n v="158"/>
    <s v="91+ days"/>
    <n v="2640"/>
    <n v="2640"/>
  </r>
  <r>
    <x v="1"/>
    <d v="2023-01-27T00:00:00"/>
    <s v="Bill"/>
    <s v="INV028125"/>
    <s v="Trinity Green Services, LLC"/>
    <d v="2023-02-26T00:00:00"/>
    <n v="146"/>
    <s v="91+ days"/>
    <n v="280"/>
    <n v="280"/>
  </r>
  <r>
    <x v="1"/>
    <d v="2023-02-01T00:00:00"/>
    <s v="Bill"/>
    <n v="3195"/>
    <s v="Texas Select Erosion"/>
    <d v="2023-03-03T00:00:00"/>
    <n v="141"/>
    <s v="91+ days"/>
    <n v="1502.5"/>
    <n v="1502.5"/>
  </r>
  <r>
    <x v="1"/>
    <d v="2023-03-09T00:00:00"/>
    <s v="Bill"/>
    <s v="9017086026"/>
    <s v="WILLSCOT"/>
    <d v="2023-03-09T00:00:00"/>
    <n v="135"/>
    <s v="91+ days"/>
    <n v="2105.4"/>
    <n v="2105.4"/>
  </r>
  <r>
    <x v="1"/>
    <d v="2023-02-08T00:00:00"/>
    <s v="Bill"/>
    <n v="3205"/>
    <s v="Texas Select Erosion"/>
    <d v="2023-03-10T00:00:00"/>
    <n v="134"/>
    <s v="91+ days"/>
    <n v="510"/>
    <n v="510"/>
  </r>
  <r>
    <x v="1"/>
    <d v="2023-02-13T00:00:00"/>
    <s v="Bill"/>
    <s v="INV028978"/>
    <s v="Trinity Green Services, LLC"/>
    <d v="2023-03-15T00:00:00"/>
    <n v="129"/>
    <s v="91+ days"/>
    <n v="75"/>
    <n v="75"/>
  </r>
  <r>
    <x v="1"/>
    <d v="2023-02-13T00:00:00"/>
    <s v="Bill"/>
    <s v="INV028989"/>
    <s v="Trinity Green Services, LLC"/>
    <d v="2023-03-15T00:00:00"/>
    <n v="129"/>
    <s v="91+ days"/>
    <n v="75"/>
    <n v="75"/>
  </r>
  <r>
    <x v="1"/>
    <d v="2023-02-15T00:00:00"/>
    <s v="Bill"/>
    <n v="3215"/>
    <s v="Texas Select Erosion"/>
    <d v="2023-03-17T00:00:00"/>
    <n v="127"/>
    <s v="91+ days"/>
    <n v="2298"/>
    <n v="2298"/>
  </r>
  <r>
    <x v="1"/>
    <d v="2023-02-22T00:00:00"/>
    <s v="Bill"/>
    <n v="3232"/>
    <s v="Texas Select Erosion"/>
    <d v="2023-03-24T00:00:00"/>
    <n v="120"/>
    <s v="91+ days"/>
    <n v="590"/>
    <n v="590"/>
  </r>
  <r>
    <x v="1"/>
    <d v="2023-02-27T00:00:00"/>
    <s v="Bill"/>
    <s v="INV029713"/>
    <s v="Trinity Green Services, LLC"/>
    <d v="2023-03-29T00:00:00"/>
    <n v="115"/>
    <s v="91+ days"/>
    <n v="280"/>
    <n v="280"/>
  </r>
  <r>
    <x v="1"/>
    <d v="2023-02-28T00:00:00"/>
    <s v="Bill"/>
    <n v="13821"/>
    <s v="CMAC Roofing LLC"/>
    <d v="2023-03-30T00:00:00"/>
    <n v="114"/>
    <s v="91+ days"/>
    <n v="225"/>
    <n v="225"/>
  </r>
  <r>
    <x v="1"/>
    <d v="2023-03-01T00:00:00"/>
    <s v="Bill"/>
    <n v="3240"/>
    <s v="Texas Select Erosion"/>
    <d v="2023-03-31T00:00:00"/>
    <n v="113"/>
    <s v="91+ days"/>
    <n v="287"/>
    <n v="287"/>
  </r>
  <r>
    <x v="1"/>
    <d v="2023-03-06T00:00:00"/>
    <s v="Bill"/>
    <s v="INV030129"/>
    <s v="Trinity Green Services, LLC"/>
    <d v="2023-04-05T00:00:00"/>
    <n v="108"/>
    <s v="91+ days"/>
    <n v="70"/>
    <n v="70"/>
  </r>
  <r>
    <x v="1"/>
    <d v="2023-04-06T00:00:00"/>
    <s v="Bill"/>
    <s v="9017353726"/>
    <s v="WILLSCOT"/>
    <d v="2023-04-06T00:00:00"/>
    <n v="107"/>
    <s v="91+ days"/>
    <n v="2136.98"/>
    <n v="2136.98"/>
  </r>
  <r>
    <x v="1"/>
    <d v="2023-04-07T00:00:00"/>
    <s v="Bill"/>
    <s v="JOB(1090)"/>
    <s v="SYB CONSTRUCTION COMPANY,INC"/>
    <d v="2023-04-07T00:00:00"/>
    <n v="106"/>
    <s v="91+ days"/>
    <n v="32850"/>
    <n v="0.01"/>
  </r>
  <r>
    <x v="1"/>
    <d v="2023-03-27T00:00:00"/>
    <s v="Bill"/>
    <n v="1032"/>
    <s v="Davis Consulting Engineers, PLLC"/>
    <d v="2023-04-10T00:00:00"/>
    <n v="103"/>
    <s v="91+ days"/>
    <n v="3542.39"/>
    <n v="3542.39"/>
  </r>
  <r>
    <x v="1"/>
    <d v="2023-03-27T00:00:00"/>
    <s v="Bill"/>
    <n v="1041"/>
    <s v="Davis Consulting Engineers, PLLC"/>
    <d v="2023-04-10T00:00:00"/>
    <n v="103"/>
    <s v="91+ days"/>
    <n v="3332.39"/>
    <n v="3332.39"/>
  </r>
  <r>
    <x v="1"/>
    <d v="2023-03-15T00:00:00"/>
    <s v="Bill"/>
    <n v="3285"/>
    <s v="Texas Select Erosion"/>
    <d v="2023-04-14T00:00:00"/>
    <n v="99"/>
    <s v="91+ days"/>
    <n v="255"/>
    <n v="255"/>
  </r>
  <r>
    <x v="1"/>
    <d v="2023-04-14T00:00:00"/>
    <s v="Bill"/>
    <s v="CC030227"/>
    <s v="Advanced Nameplates, Inc"/>
    <d v="2023-04-14T00:00:00"/>
    <n v="99"/>
    <s v="91+ days"/>
    <n v="1516"/>
    <n v="1516"/>
  </r>
  <r>
    <x v="1"/>
    <d v="2023-03-21T00:00:00"/>
    <s v="Bill"/>
    <n v="9283"/>
    <s v="Virtual Protective"/>
    <d v="2023-04-20T00:00:00"/>
    <n v="93"/>
    <s v="91+ days"/>
    <n v="2273.25"/>
    <n v="2273.25"/>
  </r>
  <r>
    <x v="1"/>
    <d v="2023-03-22T00:00:00"/>
    <s v="Bill"/>
    <n v="3306"/>
    <s v="Texas Select Erosion"/>
    <d v="2023-04-21T00:00:00"/>
    <n v="92"/>
    <s v="91+ days"/>
    <n v="320"/>
    <n v="320"/>
  </r>
  <r>
    <x v="1"/>
    <d v="2023-03-29T00:00:00"/>
    <s v="Bill"/>
    <n v="3318"/>
    <s v="Texas Select Erosion"/>
    <d v="2023-04-28T00:00:00"/>
    <n v="85"/>
    <s v="61-90 days"/>
    <n v="480"/>
    <n v="480"/>
  </r>
  <r>
    <x v="1"/>
    <d v="2023-04-01T00:00:00"/>
    <s v="Bill"/>
    <s v="INV05624063"/>
    <s v="Quench USA, Inc"/>
    <d v="2023-05-01T00:00:00"/>
    <n v="82"/>
    <s v="61-90 days"/>
    <n v="126.65"/>
    <n v="126.65"/>
  </r>
  <r>
    <x v="1"/>
    <d v="2023-05-02T00:00:00"/>
    <s v="Bill"/>
    <s v="AC904608"/>
    <s v="Roome Land Surveying"/>
    <d v="2023-05-02T00:00:00"/>
    <n v="81"/>
    <s v="61-90 days"/>
    <n v="350"/>
    <n v="350"/>
  </r>
  <r>
    <x v="1"/>
    <d v="2023-05-02T00:00:00"/>
    <s v="Bill"/>
    <s v="AC907267"/>
    <s v="Roome Land Surveying"/>
    <d v="2023-05-02T00:00:00"/>
    <n v="81"/>
    <s v="61-90 days"/>
    <n v="350"/>
    <n v="350"/>
  </r>
  <r>
    <x v="1"/>
    <d v="2023-04-05T00:00:00"/>
    <s v="Bill"/>
    <n v="3352"/>
    <s v="Texas Select Erosion"/>
    <d v="2023-05-05T00:00:00"/>
    <n v="78"/>
    <s v="61-90 days"/>
    <n v="2152.5"/>
    <n v="2152.5"/>
  </r>
  <r>
    <x v="1"/>
    <d v="2023-05-05T00:00:00"/>
    <s v="Bill"/>
    <s v="9017627181"/>
    <s v="WILLSCOT"/>
    <d v="2023-05-05T00:00:00"/>
    <n v="78"/>
    <s v="61-90 days"/>
    <n v="3095.95"/>
    <n v="3095.95"/>
  </r>
  <r>
    <x v="1"/>
    <d v="2023-05-07T00:00:00"/>
    <s v="Bill"/>
    <n v="4974"/>
    <s v="Geoscience Engineers, LLC"/>
    <d v="2023-05-07T00:00:00"/>
    <n v="76"/>
    <s v="61-90 days"/>
    <n v="4647"/>
    <n v="4647"/>
  </r>
  <r>
    <x v="1"/>
    <d v="2023-05-07T00:00:00"/>
    <s v="Bill"/>
    <n v="5160"/>
    <s v="Geoscience Engineers, LLC"/>
    <d v="2023-05-07T00:00:00"/>
    <n v="76"/>
    <s v="61-90 days"/>
    <n v="1939"/>
    <n v="1939"/>
  </r>
  <r>
    <x v="1"/>
    <d v="2023-05-09T00:00:00"/>
    <s v="Bill"/>
    <s v="165157-3"/>
    <s v="Complete LandSculpture"/>
    <d v="2023-05-09T00:00:00"/>
    <n v="74"/>
    <s v="61-90 days"/>
    <n v="7443.75"/>
    <n v="7443.75"/>
  </r>
  <r>
    <x v="1"/>
    <d v="2023-04-12T00:00:00"/>
    <s v="Bill"/>
    <n v="3374"/>
    <s v="Texas Select Erosion"/>
    <d v="2023-05-12T00:00:00"/>
    <n v="71"/>
    <s v="61-90 days"/>
    <n v="1641.5"/>
    <n v="1641.5"/>
  </r>
  <r>
    <x v="1"/>
    <d v="2023-04-19T00:00:00"/>
    <s v="Bill"/>
    <n v="3391"/>
    <s v="Texas Select Erosion"/>
    <d v="2023-05-19T00:00:00"/>
    <n v="64"/>
    <s v="61-90 days"/>
    <n v="3700"/>
    <n v="3700"/>
  </r>
  <r>
    <x v="1"/>
    <d v="2023-05-24T00:00:00"/>
    <s v="Bill"/>
    <s v="9017784684"/>
    <s v="WILLSCOT"/>
    <d v="2023-05-24T00:00:00"/>
    <n v="59"/>
    <s v="31-60 days"/>
    <n v="12799.21"/>
    <n v="12799.21"/>
  </r>
  <r>
    <x v="1"/>
    <d v="2023-05-27T00:00:00"/>
    <s v="Bill"/>
    <n v="5251"/>
    <s v="Geoscience Engineers, LLC"/>
    <d v="2023-05-27T00:00:00"/>
    <n v="56"/>
    <s v="31-60 days"/>
    <n v="571"/>
    <n v="571"/>
  </r>
  <r>
    <x v="1"/>
    <d v="2023-05-30T00:00:00"/>
    <s v="Bill"/>
    <n v="113867"/>
    <s v="Bri-Cor Contractors Inc"/>
    <d v="2023-05-30T00:00:00"/>
    <n v="53"/>
    <s v="31-60 days"/>
    <n v="575"/>
    <n v="575"/>
  </r>
  <r>
    <x v="1"/>
    <d v="2023-06-20T00:00:00"/>
    <s v="Bill"/>
    <s v="2108.048-02"/>
    <s v="EAGLE SURVEYING"/>
    <d v="2023-06-20T00:00:00"/>
    <n v="32"/>
    <s v="31-60 days"/>
    <n v="6576.19"/>
    <n v="6576.19"/>
  </r>
  <r>
    <x v="1"/>
    <d v="2023-07-14T00:00:00"/>
    <s v="Bill"/>
    <s v="AC910816"/>
    <s v="Roome Land Surveying"/>
    <d v="2023-07-14T00:00:00"/>
    <n v="8"/>
    <s v="1-30 days"/>
    <n v="500"/>
    <n v="500"/>
  </r>
  <r>
    <x v="2"/>
    <d v="2022-10-10T00:00:00"/>
    <s v="Bill"/>
    <n v="221019"/>
    <s v="The ROBINSON Law Firm"/>
    <d v="2022-10-10T00:00:00"/>
    <n v="285"/>
    <s v="91+ days"/>
    <n v="2625"/>
    <n v="2625"/>
  </r>
  <r>
    <x v="2"/>
    <d v="2022-10-10T00:00:00"/>
    <s v="Bill"/>
    <n v="221011"/>
    <s v="The ROBINSON Law Firm"/>
    <d v="2022-10-10T00:00:00"/>
    <n v="285"/>
    <s v="91+ days"/>
    <n v="1375"/>
    <n v="1375"/>
  </r>
  <r>
    <x v="2"/>
    <d v="2022-11-29T00:00:00"/>
    <s v="Bill"/>
    <n v="53447"/>
    <s v="North Collin Special Utility District"/>
    <d v="2022-11-29T00:00:00"/>
    <n v="235"/>
    <s v="91+ days"/>
    <n v="100"/>
    <n v="100"/>
  </r>
  <r>
    <x v="2"/>
    <d v="2022-11-29T00:00:00"/>
    <s v="Bill"/>
    <n v="53454"/>
    <s v="North Collin Special Utility District"/>
    <d v="2022-11-29T00:00:00"/>
    <n v="235"/>
    <s v="91+ days"/>
    <n v="100"/>
    <n v="100"/>
  </r>
  <r>
    <x v="2"/>
    <d v="2022-11-30T00:00:00"/>
    <s v="Bill"/>
    <n v="17419"/>
    <s v="JDJR ENGINEERS &amp; CONSULTANTS, INC"/>
    <d v="2022-12-10T00:00:00"/>
    <n v="224"/>
    <s v="91+ days"/>
    <n v="12500"/>
    <n v="12500"/>
  </r>
  <r>
    <x v="2"/>
    <d v="2022-11-29T00:00:00"/>
    <s v="Bill"/>
    <n v="53455"/>
    <s v="North Collin Special Utility District"/>
    <d v="2022-12-12T00:00:00"/>
    <n v="222"/>
    <s v="91+ days"/>
    <n v="2575"/>
    <n v="2575"/>
  </r>
  <r>
    <x v="2"/>
    <d v="2022-11-29T00:00:00"/>
    <s v="Bill"/>
    <n v="53444"/>
    <s v="North Collin Special Utility District"/>
    <d v="2022-12-12T00:00:00"/>
    <n v="222"/>
    <s v="91+ days"/>
    <n v="337"/>
    <n v="337"/>
  </r>
  <r>
    <x v="2"/>
    <d v="2022-11-29T00:00:00"/>
    <s v="Bill"/>
    <n v="53445"/>
    <s v="North Collin Special Utility District"/>
    <d v="2022-12-12T00:00:00"/>
    <n v="222"/>
    <s v="91+ days"/>
    <n v="100"/>
    <n v="100"/>
  </r>
  <r>
    <x v="2"/>
    <d v="2022-11-29T00:00:00"/>
    <s v="Bill"/>
    <n v="53446"/>
    <s v="North Collin Special Utility District"/>
    <d v="2022-12-12T00:00:00"/>
    <n v="222"/>
    <s v="91+ days"/>
    <n v="100"/>
    <n v="100"/>
  </r>
  <r>
    <x v="2"/>
    <d v="2022-11-29T00:00:00"/>
    <s v="Bill"/>
    <n v="53448"/>
    <s v="North Collin Special Utility District"/>
    <d v="2022-12-12T00:00:00"/>
    <n v="222"/>
    <s v="91+ days"/>
    <n v="100"/>
    <n v="100"/>
  </r>
  <r>
    <x v="2"/>
    <d v="2022-11-29T00:00:00"/>
    <s v="Bill"/>
    <n v="53449"/>
    <s v="North Collin Special Utility District"/>
    <d v="2022-12-12T00:00:00"/>
    <n v="222"/>
    <s v="91+ days"/>
    <n v="100"/>
    <n v="100"/>
  </r>
  <r>
    <x v="2"/>
    <d v="2022-11-29T00:00:00"/>
    <s v="Bill"/>
    <n v="53450"/>
    <s v="North Collin Special Utility District"/>
    <d v="2022-12-12T00:00:00"/>
    <n v="222"/>
    <s v="91+ days"/>
    <n v="100"/>
    <n v="100"/>
  </r>
  <r>
    <x v="2"/>
    <d v="2022-11-29T00:00:00"/>
    <s v="Bill"/>
    <n v="53451"/>
    <s v="North Collin Special Utility District"/>
    <d v="2022-12-12T00:00:00"/>
    <n v="222"/>
    <s v="91+ days"/>
    <n v="100"/>
    <n v="100"/>
  </r>
  <r>
    <x v="2"/>
    <d v="2022-11-29T00:00:00"/>
    <s v="Bill"/>
    <n v="53452"/>
    <s v="North Collin Special Utility District"/>
    <d v="2022-12-12T00:00:00"/>
    <n v="222"/>
    <s v="91+ days"/>
    <n v="100"/>
    <n v="100"/>
  </r>
  <r>
    <x v="2"/>
    <d v="2022-11-29T00:00:00"/>
    <s v="Bill"/>
    <n v="53453"/>
    <s v="North Collin Special Utility District"/>
    <d v="2022-12-12T00:00:00"/>
    <n v="222"/>
    <s v="91+ days"/>
    <n v="100"/>
    <n v="100"/>
  </r>
  <r>
    <x v="2"/>
    <d v="2022-12-30T00:00:00"/>
    <s v="Bill"/>
    <n v="17452"/>
    <s v="JDJR ENGINEERS &amp; CONSULTANTS, INC"/>
    <d v="2023-01-14T00:00:00"/>
    <n v="189"/>
    <s v="91+ days"/>
    <n v="10325"/>
    <n v="10325"/>
  </r>
  <r>
    <x v="2"/>
    <d v="2023-03-27T00:00:00"/>
    <s v="Bill"/>
    <n v="1038"/>
    <s v="Davis Consulting Engineers, PLLC"/>
    <d v="2023-04-10T00:00:00"/>
    <n v="103"/>
    <s v="91+ days"/>
    <n v="9842.39"/>
    <n v="9842.39"/>
  </r>
  <r>
    <x v="2"/>
    <d v="2023-03-27T00:00:00"/>
    <s v="Bill"/>
    <n v="1035"/>
    <s v="Davis Consulting Engineers, PLLC"/>
    <d v="2023-04-10T00:00:00"/>
    <n v="103"/>
    <s v="91+ days"/>
    <n v="7322.39"/>
    <n v="7322.39"/>
  </r>
  <r>
    <x v="2"/>
    <d v="2023-04-29T00:00:00"/>
    <s v="Bill"/>
    <n v="230413"/>
    <s v="The ROBINSON Law Firm"/>
    <d v="2023-04-29T00:00:00"/>
    <n v="84"/>
    <s v="61-90 days"/>
    <n v="250"/>
    <n v="250"/>
  </r>
  <r>
    <x v="3"/>
    <d v="2021-06-30T00:00:00"/>
    <s v="Bill"/>
    <n v="17080"/>
    <s v="JDJR ENGINEERS &amp; CONSULTANTS, INC"/>
    <d v="2021-07-10T00:00:00"/>
    <n v="742"/>
    <s v="91+ days"/>
    <n v="36081.56"/>
    <n v="36081.56"/>
  </r>
  <r>
    <x v="3"/>
    <d v="2021-07-22T00:00:00"/>
    <s v="Bill"/>
    <n v="17084"/>
    <s v="JDJR ENGINEERS &amp; CONSULTANTS, INC"/>
    <d v="2021-07-22T00:00:00"/>
    <n v="730"/>
    <s v="91+ days"/>
    <n v="1576.76"/>
    <n v="1576.76"/>
  </r>
  <r>
    <x v="3"/>
    <d v="2021-08-13T00:00:00"/>
    <s v="Bill"/>
    <n v="17104"/>
    <s v="JDJR ENGINEERS &amp; CONSULTANTS, INC"/>
    <d v="2021-08-23T00:00:00"/>
    <n v="698"/>
    <s v="91+ days"/>
    <n v="12500.78"/>
    <n v="12500.78"/>
  </r>
  <r>
    <x v="3"/>
    <d v="2022-01-31T00:00:00"/>
    <s v="Bill"/>
    <n v="17222"/>
    <s v="JDJR ENGINEERS &amp; CONSULTANTS, INC"/>
    <d v="2022-01-31T00:00:00"/>
    <n v="537"/>
    <s v="91+ days"/>
    <n v="4250"/>
    <n v="4250"/>
  </r>
  <r>
    <x v="3"/>
    <d v="2022-04-06T00:00:00"/>
    <s v="Bill"/>
    <n v="17263"/>
    <s v="JDJR ENGINEERS &amp; CONSULTANTS, INC"/>
    <d v="2022-04-06T00:00:00"/>
    <n v="472"/>
    <s v="91+ days"/>
    <n v="3187.5"/>
    <n v="3187.5"/>
  </r>
  <r>
    <x v="3"/>
    <d v="2022-05-24T00:00:00"/>
    <s v="Bill"/>
    <n v="17301"/>
    <s v="JDJR ENGINEERS &amp; CONSULTANTS, INC"/>
    <d v="2022-05-24T00:00:00"/>
    <n v="424"/>
    <s v="91+ days"/>
    <n v="2350.7800000000002"/>
    <n v="2350.7800000000002"/>
  </r>
  <r>
    <x v="3"/>
    <d v="2022-07-27T00:00:00"/>
    <s v="Bill"/>
    <n v="17324"/>
    <s v="JDJR ENGINEERS &amp; CONSULTANTS, INC"/>
    <d v="2022-07-27T00:00:00"/>
    <n v="360"/>
    <s v="91+ days"/>
    <n v="362.5"/>
    <n v="362.5"/>
  </r>
  <r>
    <x v="3"/>
    <d v="2022-10-12T00:00:00"/>
    <s v="Bill"/>
    <n v="2944"/>
    <s v="Texas Select Erosion"/>
    <d v="2022-10-12T00:00:00"/>
    <n v="283"/>
    <s v="91+ days"/>
    <n v="2325"/>
    <n v="2325"/>
  </r>
  <r>
    <x v="3"/>
    <d v="2022-11-02T00:00:00"/>
    <s v="Bill"/>
    <n v="17396"/>
    <s v="JDJR ENGINEERS &amp; CONSULTANTS, INC"/>
    <d v="2022-11-12T00:00:00"/>
    <n v="252"/>
    <s v="91+ days"/>
    <n v="750"/>
    <n v="750"/>
  </r>
  <r>
    <x v="3"/>
    <d v="2022-11-16T00:00:00"/>
    <s v="Bill"/>
    <n v="1164"/>
    <s v="ADR Designs LLC"/>
    <d v="2022-11-16T00:00:00"/>
    <n v="248"/>
    <s v="91+ days"/>
    <n v="9125"/>
    <n v="9125"/>
  </r>
  <r>
    <x v="3"/>
    <d v="2022-12-31T00:00:00"/>
    <s v="Journal Entry"/>
    <s v="Adj_Engineer&amp;Builder"/>
    <s v="Aspen Engineers &amp; Builders LLC"/>
    <d v="2022-12-31T00:00:00"/>
    <n v="203"/>
    <s v="91+ days"/>
    <n v="77179.850000000006"/>
    <n v="77179.850000000006"/>
  </r>
  <r>
    <x v="3"/>
    <d v="2023-01-11T00:00:00"/>
    <s v="Bill"/>
    <n v="3151"/>
    <s v="Texas Select Erosion"/>
    <d v="2023-02-10T00:00:00"/>
    <n v="162"/>
    <s v="91+ days"/>
    <n v="925"/>
    <n v="925"/>
  </r>
  <r>
    <x v="3"/>
    <d v="2023-03-27T00:00:00"/>
    <s v="Bill"/>
    <n v="1040"/>
    <s v="Davis Consulting Engineers, PLLC"/>
    <d v="2023-04-10T00:00:00"/>
    <n v="103"/>
    <s v="91+ days"/>
    <n v="7112.39"/>
    <n v="7112.39"/>
  </r>
  <r>
    <x v="3"/>
    <d v="2023-04-14T00:00:00"/>
    <s v="Bill"/>
    <s v="CC030227"/>
    <s v="Advanced Nameplates, Inc"/>
    <d v="2023-04-14T00:00:00"/>
    <n v="99"/>
    <s v="91+ days"/>
    <n v="1516"/>
    <n v="1516"/>
  </r>
  <r>
    <x v="3"/>
    <d v="2023-03-22T00:00:00"/>
    <s v="Bill"/>
    <s v="INV-00019615"/>
    <s v="JDJR ENGINEERS &amp; CONSULTANTS, INC"/>
    <d v="2023-04-21T00:00:00"/>
    <n v="92"/>
    <s v="91+ days"/>
    <n v="200"/>
    <n v="200"/>
  </r>
  <r>
    <x v="3"/>
    <d v="2023-03-30T00:00:00"/>
    <s v="Bill"/>
    <n v="466"/>
    <s v="Glenn Thurman Inc"/>
    <d v="2023-04-30T00:00:00"/>
    <n v="83"/>
    <s v="61-90 days"/>
    <n v="515291.08"/>
    <n v="515291.08"/>
  </r>
  <r>
    <x v="3"/>
    <d v="2023-04-30T00:00:00"/>
    <s v="Bill"/>
    <s v="Estimate#7"/>
    <s v="SYB CONSTRUCTION COMPANY,INC"/>
    <d v="2023-04-30T00:00:00"/>
    <n v="83"/>
    <s v="61-90 days"/>
    <n v="92580.93"/>
    <n v="92580.93"/>
  </r>
  <r>
    <x v="4"/>
    <d v="2022-01-20T00:00:00"/>
    <s v="Bill"/>
    <n v="37543"/>
    <s v="Aubrey Brick &amp; ClayStone Co."/>
    <d v="2022-01-20T00:00:00"/>
    <n v="548"/>
    <s v="91+ days"/>
    <n v="11746.8"/>
    <n v="11746.8"/>
  </r>
  <r>
    <x v="4"/>
    <d v="2022-06-10T00:00:00"/>
    <s v="Bill"/>
    <s v="AC893374"/>
    <s v="Roome Land Surveying"/>
    <d v="2022-06-10T00:00:00"/>
    <n v="407"/>
    <s v="91+ days"/>
    <n v="350"/>
    <n v="350"/>
  </r>
  <r>
    <x v="4"/>
    <d v="2022-07-15T00:00:00"/>
    <s v="Bill"/>
    <n v="2987141"/>
    <s v="Burgess Construction Consultants Inc"/>
    <d v="2022-07-15T00:00:00"/>
    <n v="372"/>
    <s v="91+ days"/>
    <n v="120"/>
    <n v="120"/>
  </r>
  <r>
    <x v="4"/>
    <d v="2022-07-15T00:00:00"/>
    <s v="Bill"/>
    <n v="2987142"/>
    <s v="Burgess Construction Consultants Inc"/>
    <d v="2022-07-15T00:00:00"/>
    <n v="372"/>
    <s v="91+ days"/>
    <n v="120"/>
    <n v="120"/>
  </r>
  <r>
    <x v="4"/>
    <d v="2022-07-15T00:00:00"/>
    <s v="Bill"/>
    <n v="2987143"/>
    <s v="Burgess Construction Consultants Inc"/>
    <d v="2022-07-15T00:00:00"/>
    <n v="372"/>
    <s v="91+ days"/>
    <n v="120"/>
    <n v="120"/>
  </r>
  <r>
    <x v="4"/>
    <d v="2022-07-15T00:00:00"/>
    <s v="Bill"/>
    <n v="2987144"/>
    <s v="Burgess Construction Consultants Inc"/>
    <d v="2022-07-15T00:00:00"/>
    <n v="372"/>
    <s v="91+ days"/>
    <n v="120"/>
    <n v="120"/>
  </r>
  <r>
    <x v="4"/>
    <d v="2022-07-15T00:00:00"/>
    <s v="Bill"/>
    <n v="2987146"/>
    <s v="Burgess Construction Consultants Inc"/>
    <d v="2022-07-15T00:00:00"/>
    <n v="372"/>
    <s v="91+ days"/>
    <n v="120"/>
    <n v="120"/>
  </r>
  <r>
    <x v="4"/>
    <d v="2022-07-15T00:00:00"/>
    <s v="Bill"/>
    <n v="2987147"/>
    <s v="Burgess Construction Consultants Inc"/>
    <d v="2022-07-15T00:00:00"/>
    <n v="372"/>
    <s v="91+ days"/>
    <n v="120"/>
    <n v="120"/>
  </r>
  <r>
    <x v="4"/>
    <d v="2022-07-22T00:00:00"/>
    <s v="Bill"/>
    <n v="615962"/>
    <s v="Potter Concrete Residential LTD"/>
    <d v="2022-07-22T00:00:00"/>
    <n v="365"/>
    <s v="91+ days"/>
    <n v="1650"/>
    <n v="1650"/>
  </r>
  <r>
    <x v="4"/>
    <d v="2022-07-22T00:00:00"/>
    <s v="Bill"/>
    <n v="615841"/>
    <s v="Potter Concrete Residential LTD"/>
    <d v="2022-07-22T00:00:00"/>
    <n v="365"/>
    <s v="91+ days"/>
    <n v="1200"/>
    <n v="1200"/>
  </r>
  <r>
    <x v="4"/>
    <d v="2022-07-28T00:00:00"/>
    <s v="Bill"/>
    <n v="40641"/>
    <s v="Stormcon LLC"/>
    <d v="2022-07-28T00:00:00"/>
    <n v="359"/>
    <s v="91+ days"/>
    <n v="300"/>
    <n v="300"/>
  </r>
  <r>
    <x v="4"/>
    <d v="2022-08-04T00:00:00"/>
    <s v="Bill"/>
    <n v="617250"/>
    <s v="Potter Concrete Residential LTD"/>
    <d v="2022-08-04T00:00:00"/>
    <n v="352"/>
    <s v="91+ days"/>
    <n v="1492.2"/>
    <n v="1492.2"/>
  </r>
  <r>
    <x v="4"/>
    <d v="2022-08-04T00:00:00"/>
    <s v="Bill"/>
    <n v="617249"/>
    <s v="Potter Concrete Residential LTD"/>
    <d v="2022-08-04T00:00:00"/>
    <n v="352"/>
    <s v="91+ days"/>
    <n v="1236"/>
    <n v="1236"/>
  </r>
  <r>
    <x v="4"/>
    <d v="2022-08-17T00:00:00"/>
    <s v="Bill"/>
    <n v="3016316"/>
    <s v="Burgess Construction Consultants Inc"/>
    <d v="2022-08-17T00:00:00"/>
    <n v="339"/>
    <s v="91+ days"/>
    <n v="105"/>
    <n v="105"/>
  </r>
  <r>
    <x v="4"/>
    <d v="2022-08-17T00:00:00"/>
    <s v="Bill"/>
    <n v="3016320"/>
    <s v="Burgess Construction Consultants Inc"/>
    <d v="2022-08-17T00:00:00"/>
    <n v="339"/>
    <s v="91+ days"/>
    <n v="105"/>
    <n v="105"/>
  </r>
  <r>
    <x v="4"/>
    <d v="2022-08-17T00:00:00"/>
    <s v="Bill"/>
    <n v="3016324"/>
    <s v="Burgess Construction Consultants Inc"/>
    <d v="2022-08-17T00:00:00"/>
    <n v="339"/>
    <s v="91+ days"/>
    <n v="105"/>
    <n v="105"/>
  </r>
  <r>
    <x v="4"/>
    <d v="2022-08-17T00:00:00"/>
    <s v="Bill"/>
    <n v="3016326"/>
    <s v="Burgess Construction Consultants Inc"/>
    <d v="2022-08-17T00:00:00"/>
    <n v="339"/>
    <s v="91+ days"/>
    <n v="105"/>
    <n v="105"/>
  </r>
  <r>
    <x v="4"/>
    <d v="2022-08-17T00:00:00"/>
    <s v="Bill"/>
    <n v="3016330"/>
    <s v="Burgess Construction Consultants Inc"/>
    <d v="2022-08-17T00:00:00"/>
    <n v="339"/>
    <s v="91+ days"/>
    <n v="105"/>
    <n v="105"/>
  </r>
  <r>
    <x v="4"/>
    <d v="2022-08-09T00:00:00"/>
    <s v="Bill"/>
    <n v="6816"/>
    <s v="AME Trash Removal"/>
    <d v="2022-08-25T00:00:00"/>
    <n v="331"/>
    <s v="91+ days"/>
    <n v="549"/>
    <n v="549"/>
  </r>
  <r>
    <x v="4"/>
    <d v="2022-08-29T00:00:00"/>
    <s v="Bill"/>
    <n v="41076"/>
    <s v="Stormcon LLC"/>
    <d v="2022-08-29T00:00:00"/>
    <n v="327"/>
    <s v="91+ days"/>
    <n v="375"/>
    <n v="375"/>
  </r>
  <r>
    <x v="4"/>
    <d v="2022-08-26T00:00:00"/>
    <s v="Bill"/>
    <n v="85249"/>
    <s v="Oldham Lumber Company"/>
    <d v="2022-09-06T00:00:00"/>
    <n v="319"/>
    <s v="91+ days"/>
    <n v="4222.47"/>
    <n v="4222.47"/>
  </r>
  <r>
    <x v="4"/>
    <d v="2022-09-06T00:00:00"/>
    <s v="Bill"/>
    <s v="INV#123553"/>
    <s v="Alliance Materials, Inc."/>
    <d v="2022-09-06T00:00:00"/>
    <n v="319"/>
    <s v="91+ days"/>
    <n v="4178.88"/>
    <n v="4178.88"/>
  </r>
  <r>
    <x v="4"/>
    <d v="2022-09-06T00:00:00"/>
    <s v="Bill"/>
    <s v="INV#123557"/>
    <s v="Alliance Materials, Inc."/>
    <d v="2022-09-06T00:00:00"/>
    <n v="319"/>
    <s v="91+ days"/>
    <n v="3688.5"/>
    <n v="3688.5"/>
  </r>
  <r>
    <x v="4"/>
    <d v="2022-09-09T00:00:00"/>
    <s v="Bill"/>
    <s v="INV#124387"/>
    <s v="Alliance Materials, Inc."/>
    <d v="2022-09-09T00:00:00"/>
    <n v="316"/>
    <s v="91+ days"/>
    <n v="2568.12"/>
    <n v="2568.12"/>
  </r>
  <r>
    <x v="4"/>
    <d v="2022-09-09T00:00:00"/>
    <s v="Bill"/>
    <n v="3042550"/>
    <s v="Burgess Construction Consultants Inc"/>
    <d v="2022-09-09T00:00:00"/>
    <n v="316"/>
    <s v="91+ days"/>
    <n v="200"/>
    <n v="200"/>
  </r>
  <r>
    <x v="4"/>
    <d v="2022-09-09T00:00:00"/>
    <s v="Bill"/>
    <n v="3042548"/>
    <s v="Burgess Construction Consultants Inc"/>
    <d v="2022-09-09T00:00:00"/>
    <n v="316"/>
    <s v="91+ days"/>
    <n v="200"/>
    <n v="200"/>
  </r>
  <r>
    <x v="4"/>
    <d v="2022-08-26T00:00:00"/>
    <s v="Bill"/>
    <n v="85250"/>
    <s v="Oldham Lumber Company"/>
    <d v="2022-09-10T00:00:00"/>
    <n v="315"/>
    <s v="91+ days"/>
    <n v="4260.34"/>
    <n v="4260.34"/>
  </r>
  <r>
    <x v="4"/>
    <d v="2022-08-26T00:00:00"/>
    <s v="Bill"/>
    <n v="85248"/>
    <s v="Oldham Lumber Company"/>
    <d v="2022-09-10T00:00:00"/>
    <n v="315"/>
    <s v="91+ days"/>
    <n v="4222.47"/>
    <n v="4222.47"/>
  </r>
  <r>
    <x v="4"/>
    <d v="2022-09-12T00:00:00"/>
    <s v="Bill"/>
    <s v="INV# 124997"/>
    <s v="Alliance Materials, Inc."/>
    <d v="2022-09-12T00:00:00"/>
    <n v="313"/>
    <s v="91+ days"/>
    <n v="2137.8200000000002"/>
    <n v="2137.8200000000002"/>
  </r>
  <r>
    <x v="4"/>
    <d v="2022-09-13T00:00:00"/>
    <s v="Bill"/>
    <n v="6926"/>
    <s v="AME Trash Removal"/>
    <d v="2022-09-13T00:00:00"/>
    <n v="312"/>
    <s v="91+ days"/>
    <n v="240"/>
    <n v="240"/>
  </r>
  <r>
    <x v="4"/>
    <d v="2022-09-14T00:00:00"/>
    <s v="Bill"/>
    <s v="ES696997"/>
    <s v="Roome Land Surveying"/>
    <d v="2022-09-14T00:00:00"/>
    <n v="311"/>
    <s v="91+ days"/>
    <n v="4221.75"/>
    <n v="4221.75"/>
  </r>
  <r>
    <x v="4"/>
    <d v="2022-09-13T00:00:00"/>
    <s v="Bill"/>
    <n v="6925"/>
    <s v="AME Trash Removal"/>
    <d v="2022-09-23T00:00:00"/>
    <n v="302"/>
    <s v="91+ days"/>
    <n v="240"/>
    <n v="240"/>
  </r>
  <r>
    <x v="4"/>
    <d v="2022-09-13T00:00:00"/>
    <s v="Bill"/>
    <n v="6924"/>
    <s v="AME Trash Removal"/>
    <d v="2022-09-23T00:00:00"/>
    <n v="302"/>
    <s v="91+ days"/>
    <n v="240"/>
    <n v="240"/>
  </r>
  <r>
    <x v="4"/>
    <d v="2022-09-13T00:00:00"/>
    <s v="Bill"/>
    <n v="6923"/>
    <s v="AME Trash Removal"/>
    <d v="2022-09-23T00:00:00"/>
    <n v="302"/>
    <s v="91+ days"/>
    <n v="240"/>
    <n v="240"/>
  </r>
  <r>
    <x v="4"/>
    <d v="2022-09-13T00:00:00"/>
    <s v="Bill"/>
    <n v="6922"/>
    <s v="AME Trash Removal"/>
    <d v="2022-09-23T00:00:00"/>
    <n v="302"/>
    <s v="91+ days"/>
    <n v="240"/>
    <n v="240"/>
  </r>
  <r>
    <x v="4"/>
    <d v="2022-09-23T00:00:00"/>
    <s v="Bill"/>
    <n v="6946"/>
    <s v="AME Trash Removal"/>
    <d v="2022-09-23T00:00:00"/>
    <n v="302"/>
    <s v="91+ days"/>
    <n v="240"/>
    <n v="240"/>
  </r>
  <r>
    <x v="4"/>
    <d v="2022-09-23T00:00:00"/>
    <s v="Bill"/>
    <n v="6945"/>
    <s v="AME Trash Removal"/>
    <d v="2022-09-23T00:00:00"/>
    <n v="302"/>
    <s v="91+ days"/>
    <n v="240"/>
    <n v="240"/>
  </r>
  <r>
    <x v="4"/>
    <d v="2022-09-23T00:00:00"/>
    <s v="Bill"/>
    <n v="6944"/>
    <s v="AME Trash Removal"/>
    <d v="2022-09-23T00:00:00"/>
    <n v="302"/>
    <s v="91+ days"/>
    <n v="240"/>
    <n v="240"/>
  </r>
  <r>
    <x v="4"/>
    <d v="2022-09-23T00:00:00"/>
    <s v="Bill"/>
    <n v="6943"/>
    <s v="AME Trash Removal"/>
    <d v="2022-09-23T00:00:00"/>
    <n v="302"/>
    <s v="91+ days"/>
    <n v="240"/>
    <n v="240"/>
  </r>
  <r>
    <x v="4"/>
    <d v="2022-09-23T00:00:00"/>
    <s v="Bill"/>
    <n v="6948"/>
    <s v="AME Trash Removal"/>
    <d v="2022-09-26T00:00:00"/>
    <n v="299"/>
    <s v="91+ days"/>
    <n v="240"/>
    <n v="240"/>
  </r>
  <r>
    <x v="4"/>
    <d v="2022-09-30T00:00:00"/>
    <s v="Bill"/>
    <s v="AC898029"/>
    <s v="Roome Land Surveying"/>
    <d v="2022-09-30T00:00:00"/>
    <n v="295"/>
    <s v="91+ days"/>
    <n v="350"/>
    <n v="350"/>
  </r>
  <r>
    <x v="4"/>
    <d v="2022-10-06T00:00:00"/>
    <s v="Bill"/>
    <n v="661174"/>
    <s v="L&amp;S Mechanical - Plumbing"/>
    <d v="2022-10-06T00:00:00"/>
    <n v="289"/>
    <s v="91+ days"/>
    <n v="5680"/>
    <n v="5680"/>
  </r>
  <r>
    <x v="4"/>
    <d v="2022-10-06T00:00:00"/>
    <s v="Bill"/>
    <n v="661176"/>
    <s v="L&amp;S Mechanical - Plumbing"/>
    <d v="2022-10-06T00:00:00"/>
    <n v="289"/>
    <s v="91+ days"/>
    <n v="5680"/>
    <n v="5680"/>
  </r>
  <r>
    <x v="4"/>
    <d v="2022-10-06T00:00:00"/>
    <s v="Bill"/>
    <n v="661175"/>
    <s v="L&amp;S Mechanical - Plumbing"/>
    <d v="2022-10-06T00:00:00"/>
    <n v="289"/>
    <s v="91+ days"/>
    <n v="350"/>
    <n v="350"/>
  </r>
  <r>
    <x v="4"/>
    <d v="2022-10-06T00:00:00"/>
    <s v="Bill"/>
    <n v="661177"/>
    <s v="L&amp;S Mechanical - Plumbing"/>
    <d v="2022-10-06T00:00:00"/>
    <n v="289"/>
    <s v="91+ days"/>
    <n v="350"/>
    <n v="350"/>
  </r>
  <r>
    <x v="4"/>
    <d v="2022-10-06T00:00:00"/>
    <s v="Bill"/>
    <n v="661178"/>
    <s v="L&amp;S Mechanical - Plumbing"/>
    <d v="2022-10-06T00:00:00"/>
    <n v="289"/>
    <s v="91+ days"/>
    <n v="70"/>
    <n v="70"/>
  </r>
  <r>
    <x v="4"/>
    <d v="2022-10-06T00:00:00"/>
    <s v="Bill"/>
    <n v="661179"/>
    <s v="L&amp;S Mechanical - Plumbing"/>
    <d v="2022-10-06T00:00:00"/>
    <n v="289"/>
    <s v="91+ days"/>
    <n v="70"/>
    <n v="70"/>
  </r>
  <r>
    <x v="4"/>
    <d v="2022-10-06T00:00:00"/>
    <s v="Bill"/>
    <n v="661180"/>
    <s v="L&amp;S Mechanical - Plumbing"/>
    <d v="2022-10-06T00:00:00"/>
    <n v="289"/>
    <s v="91+ days"/>
    <n v="70"/>
    <n v="70"/>
  </r>
  <r>
    <x v="4"/>
    <d v="2022-10-06T00:00:00"/>
    <s v="Bill"/>
    <n v="661181"/>
    <s v="L&amp;S Mechanical - Plumbing"/>
    <d v="2022-10-06T00:00:00"/>
    <n v="289"/>
    <s v="91+ days"/>
    <n v="70"/>
    <n v="70"/>
  </r>
  <r>
    <x v="4"/>
    <d v="2022-10-06T00:00:00"/>
    <s v="Bill"/>
    <n v="661182"/>
    <s v="L&amp;S Mechanical - Plumbing"/>
    <d v="2022-10-06T00:00:00"/>
    <n v="289"/>
    <s v="91+ days"/>
    <n v="70"/>
    <n v="70"/>
  </r>
  <r>
    <x v="4"/>
    <d v="2022-09-06T00:00:00"/>
    <s v="Bill"/>
    <s v="INV123560"/>
    <s v="Alliance Materials, Inc."/>
    <d v="2022-10-10T00:00:00"/>
    <n v="285"/>
    <s v="91+ days"/>
    <n v="3698.79"/>
    <n v="3698.79"/>
  </r>
  <r>
    <x v="4"/>
    <d v="2022-09-15T00:00:00"/>
    <s v="Bill"/>
    <s v="INV125572"/>
    <s v="Alliance Materials, Inc."/>
    <d v="2022-10-10T00:00:00"/>
    <n v="285"/>
    <s v="91+ days"/>
    <n v="306.35000000000002"/>
    <n v="306.35000000000002"/>
  </r>
  <r>
    <x v="4"/>
    <d v="2022-10-11T00:00:00"/>
    <s v="Bill"/>
    <n v="661968"/>
    <s v="L&amp;S Mechanical - Plumbing"/>
    <d v="2022-10-11T00:00:00"/>
    <n v="284"/>
    <s v="91+ days"/>
    <n v="4270"/>
    <n v="4270"/>
  </r>
  <r>
    <x v="4"/>
    <d v="2022-10-11T00:00:00"/>
    <s v="Bill"/>
    <n v="661969"/>
    <s v="L&amp;S Mechanical - Plumbing"/>
    <d v="2022-10-11T00:00:00"/>
    <n v="284"/>
    <s v="91+ days"/>
    <n v="4270"/>
    <n v="4270"/>
  </r>
  <r>
    <x v="4"/>
    <d v="2022-10-18T00:00:00"/>
    <s v="Bill"/>
    <n v="36746549"/>
    <s v="WISENBAKER BUILDER SERVICES,INC."/>
    <d v="2022-10-18T00:00:00"/>
    <n v="277"/>
    <s v="91+ days"/>
    <n v="3467.25"/>
    <n v="3467.25"/>
  </r>
  <r>
    <x v="4"/>
    <d v="2022-10-18T00:00:00"/>
    <s v="Bill"/>
    <n v="624549"/>
    <s v="Potter Concrete Residential LTD"/>
    <d v="2022-10-18T00:00:00"/>
    <n v="277"/>
    <s v="91+ days"/>
    <n v="750"/>
    <n v="750"/>
  </r>
  <r>
    <x v="4"/>
    <d v="2022-10-20T00:00:00"/>
    <s v="Bill"/>
    <n v="105887"/>
    <s v="L&amp;S Mechanical - HVAC"/>
    <d v="2022-10-20T00:00:00"/>
    <n v="275"/>
    <s v="91+ days"/>
    <n v="300"/>
    <n v="300"/>
  </r>
  <r>
    <x v="4"/>
    <d v="2022-10-20T00:00:00"/>
    <s v="Bill"/>
    <n v="105888"/>
    <s v="L&amp;S Mechanical - HVAC"/>
    <d v="2022-10-20T00:00:00"/>
    <n v="275"/>
    <s v="91+ days"/>
    <n v="300"/>
    <n v="300"/>
  </r>
  <r>
    <x v="4"/>
    <d v="2022-10-20T00:00:00"/>
    <s v="Bill"/>
    <n v="105889"/>
    <s v="L&amp;S Mechanical - HVAC"/>
    <d v="2022-10-20T00:00:00"/>
    <n v="275"/>
    <s v="91+ days"/>
    <n v="300"/>
    <n v="300"/>
  </r>
  <r>
    <x v="4"/>
    <d v="2022-10-20T00:00:00"/>
    <s v="Bill"/>
    <n v="105890"/>
    <s v="L&amp;S Mechanical - HVAC"/>
    <d v="2022-10-20T00:00:00"/>
    <n v="275"/>
    <s v="91+ days"/>
    <n v="300"/>
    <n v="300"/>
  </r>
  <r>
    <x v="4"/>
    <d v="2022-10-20T00:00:00"/>
    <s v="Bill"/>
    <n v="105891"/>
    <s v="L&amp;S Mechanical - HVAC"/>
    <d v="2022-10-20T00:00:00"/>
    <n v="275"/>
    <s v="91+ days"/>
    <n v="300"/>
    <n v="300"/>
  </r>
  <r>
    <x v="4"/>
    <d v="2022-10-21T00:00:00"/>
    <s v="Bill"/>
    <n v="36748384"/>
    <s v="WISENBAKER BUILDER SERVICES,INC."/>
    <d v="2022-10-21T00:00:00"/>
    <n v="274"/>
    <s v="91+ days"/>
    <n v="2286.75"/>
    <n v="2286.75"/>
  </r>
  <r>
    <x v="4"/>
    <d v="2022-10-21T00:00:00"/>
    <s v="Bill"/>
    <n v="36748385"/>
    <s v="WISENBAKER BUILDER SERVICES,INC."/>
    <d v="2022-10-21T00:00:00"/>
    <n v="274"/>
    <s v="91+ days"/>
    <n v="1977.3"/>
    <n v="1977.3"/>
  </r>
  <r>
    <x v="4"/>
    <d v="2022-10-24T00:00:00"/>
    <s v="Bill"/>
    <n v="36748967"/>
    <s v="WISENBAKER BUILDER SERVICES,INC."/>
    <d v="2022-10-24T00:00:00"/>
    <n v="271"/>
    <s v="91+ days"/>
    <n v="10280"/>
    <n v="10280"/>
  </r>
  <r>
    <x v="4"/>
    <d v="2022-10-28T00:00:00"/>
    <s v="Bill"/>
    <n v="59131"/>
    <s v="AlphaGraphics"/>
    <d v="2022-10-28T00:00:00"/>
    <n v="267"/>
    <s v="91+ days"/>
    <n v="182.88"/>
    <n v="182.88"/>
  </r>
  <r>
    <x v="4"/>
    <d v="2022-10-29T00:00:00"/>
    <s v="Bill"/>
    <n v="41930"/>
    <s v="Stormcon LLC"/>
    <d v="2022-10-29T00:00:00"/>
    <n v="266"/>
    <s v="91+ days"/>
    <n v="375"/>
    <n v="375"/>
  </r>
  <r>
    <x v="4"/>
    <d v="2022-10-29T00:00:00"/>
    <s v="Bill"/>
    <n v="43085"/>
    <s v="Stormcon LLC"/>
    <d v="2022-10-29T00:00:00"/>
    <n v="266"/>
    <s v="91+ days"/>
    <n v="300"/>
    <n v="300"/>
  </r>
  <r>
    <x v="4"/>
    <d v="2022-10-31T00:00:00"/>
    <s v="Bill"/>
    <n v="106831"/>
    <s v="L&amp;S Mechanical - HVAC"/>
    <d v="2022-10-31T00:00:00"/>
    <n v="264"/>
    <s v="91+ days"/>
    <n v="5793.6"/>
    <n v="5793.6"/>
  </r>
  <r>
    <x v="4"/>
    <d v="2022-10-31T00:00:00"/>
    <s v="Bill"/>
    <n v="667484"/>
    <s v="L&amp;S Mechanical - Plumbing"/>
    <d v="2022-10-31T00:00:00"/>
    <n v="264"/>
    <s v="91+ days"/>
    <n v="3660"/>
    <n v="3660"/>
  </r>
  <r>
    <x v="4"/>
    <d v="2022-10-31T00:00:00"/>
    <s v="Bill"/>
    <n v="36754264"/>
    <s v="WISENBAKER BUILDER SERVICES,INC."/>
    <d v="2022-10-31T00:00:00"/>
    <n v="264"/>
    <s v="91+ days"/>
    <n v="893"/>
    <n v="893"/>
  </r>
  <r>
    <x v="4"/>
    <d v="2022-10-31T00:00:00"/>
    <s v="Bill"/>
    <n v="667471"/>
    <s v="L&amp;S Mechanical - Plumbing"/>
    <d v="2022-10-31T00:00:00"/>
    <n v="264"/>
    <s v="91+ days"/>
    <n v="325"/>
    <n v="325"/>
  </r>
  <r>
    <x v="4"/>
    <d v="2022-10-31T00:00:00"/>
    <s v="Bill"/>
    <n v="667473"/>
    <s v="L&amp;S Mechanical - Plumbing"/>
    <d v="2022-10-31T00:00:00"/>
    <n v="264"/>
    <s v="91+ days"/>
    <n v="325"/>
    <n v="325"/>
  </r>
  <r>
    <x v="4"/>
    <d v="2022-11-02T00:00:00"/>
    <s v="Bill"/>
    <n v="3003"/>
    <s v="Texas Select Erosion"/>
    <d v="2022-11-02T00:00:00"/>
    <n v="262"/>
    <s v="91+ days"/>
    <n v="930.5"/>
    <n v="930.5"/>
  </r>
  <r>
    <x v="4"/>
    <d v="2022-11-04T00:00:00"/>
    <s v="Bill"/>
    <n v="106833"/>
    <s v="L&amp;S Mechanical - HVAC"/>
    <d v="2022-11-04T00:00:00"/>
    <n v="260"/>
    <s v="91+ days"/>
    <n v="5793.6"/>
    <n v="5793.6"/>
  </r>
  <r>
    <x v="4"/>
    <d v="2022-11-04T00:00:00"/>
    <s v="Bill"/>
    <n v="106835"/>
    <s v="L&amp;S Mechanical - HVAC"/>
    <d v="2022-11-04T00:00:00"/>
    <n v="260"/>
    <s v="91+ days"/>
    <n v="5793.6"/>
    <n v="5793.6"/>
  </r>
  <r>
    <x v="4"/>
    <d v="2022-11-04T00:00:00"/>
    <s v="Bill"/>
    <n v="106849"/>
    <s v="L&amp;S Mechanical - HVAC"/>
    <d v="2022-11-04T00:00:00"/>
    <n v="260"/>
    <s v="91+ days"/>
    <n v="5793.6"/>
    <n v="5793.6"/>
  </r>
  <r>
    <x v="4"/>
    <d v="2022-11-04T00:00:00"/>
    <s v="Bill"/>
    <n v="106837"/>
    <s v="L&amp;S Mechanical - HVAC"/>
    <d v="2022-11-04T00:00:00"/>
    <n v="260"/>
    <s v="91+ days"/>
    <n v="5793.6"/>
    <n v="5793.6"/>
  </r>
  <r>
    <x v="4"/>
    <d v="2022-11-04T00:00:00"/>
    <s v="Bill"/>
    <n v="667470"/>
    <s v="L&amp;S Mechanical - Plumbing"/>
    <d v="2022-11-04T00:00:00"/>
    <n v="260"/>
    <s v="91+ days"/>
    <n v="325"/>
    <n v="325"/>
  </r>
  <r>
    <x v="4"/>
    <d v="2022-11-04T00:00:00"/>
    <s v="Bill"/>
    <n v="106851"/>
    <s v="L&amp;S Mechanical - HVAC"/>
    <d v="2022-11-04T00:00:00"/>
    <n v="260"/>
    <s v="91+ days"/>
    <n v="111.6"/>
    <n v="111.6"/>
  </r>
  <r>
    <x v="4"/>
    <d v="2022-11-04T00:00:00"/>
    <s v="Bill"/>
    <n v="106832"/>
    <s v="L&amp;S Mechanical - HVAC"/>
    <d v="2022-11-04T00:00:00"/>
    <n v="260"/>
    <s v="91+ days"/>
    <n v="84"/>
    <n v="84"/>
  </r>
  <r>
    <x v="4"/>
    <d v="2022-11-04T00:00:00"/>
    <s v="Bill"/>
    <n v="106834"/>
    <s v="L&amp;S Mechanical - HVAC"/>
    <d v="2022-11-04T00:00:00"/>
    <n v="260"/>
    <s v="91+ days"/>
    <n v="84"/>
    <n v="84"/>
  </r>
  <r>
    <x v="4"/>
    <d v="2022-11-04T00:00:00"/>
    <s v="Bill"/>
    <n v="106836"/>
    <s v="L&amp;S Mechanical - HVAC"/>
    <d v="2022-11-04T00:00:00"/>
    <n v="260"/>
    <s v="91+ days"/>
    <n v="84"/>
    <n v="84"/>
  </r>
  <r>
    <x v="4"/>
    <d v="2022-11-04T00:00:00"/>
    <s v="Bill"/>
    <n v="106838"/>
    <s v="L&amp;S Mechanical - HVAC"/>
    <d v="2022-11-04T00:00:00"/>
    <n v="260"/>
    <s v="91+ days"/>
    <n v="84"/>
    <n v="84"/>
  </r>
  <r>
    <x v="4"/>
    <d v="2022-11-04T00:00:00"/>
    <s v="Bill"/>
    <n v="106850"/>
    <s v="L&amp;S Mechanical - HVAC"/>
    <d v="2022-11-04T00:00:00"/>
    <n v="260"/>
    <s v="91+ days"/>
    <n v="84"/>
    <n v="84"/>
  </r>
  <r>
    <x v="4"/>
    <d v="2022-11-08T00:00:00"/>
    <s v="Bill"/>
    <n v="106956"/>
    <s v="L&amp;S Mechanical - HVAC"/>
    <d v="2022-11-08T00:00:00"/>
    <n v="256"/>
    <s v="91+ days"/>
    <n v="5905.2"/>
    <n v="5905.2"/>
  </r>
  <r>
    <x v="4"/>
    <d v="2022-11-08T00:00:00"/>
    <s v="Bill"/>
    <n v="106957"/>
    <s v="L&amp;S Mechanical - HVAC"/>
    <d v="2022-11-08T00:00:00"/>
    <n v="256"/>
    <s v="91+ days"/>
    <n v="84"/>
    <n v="84"/>
  </r>
  <r>
    <x v="4"/>
    <d v="2022-10-25T00:00:00"/>
    <s v="Bill"/>
    <s v="INV-MP3326"/>
    <s v="Masterplan"/>
    <d v="2022-11-09T00:00:00"/>
    <n v="255"/>
    <s v="91+ days"/>
    <n v="265"/>
    <n v="265"/>
  </r>
  <r>
    <x v="4"/>
    <d v="2022-11-09T00:00:00"/>
    <s v="Bill"/>
    <n v="36758569"/>
    <s v="WISENBAKER BUILDER SERVICES,INC."/>
    <d v="2022-11-09T00:00:00"/>
    <n v="255"/>
    <s v="91+ days"/>
    <n v="2089"/>
    <n v="2089"/>
  </r>
  <r>
    <x v="4"/>
    <d v="2022-11-09T00:00:00"/>
    <s v="Bill"/>
    <n v="36758567"/>
    <s v="WISENBAKER BUILDER SERVICES,INC."/>
    <d v="2022-11-09T00:00:00"/>
    <n v="255"/>
    <s v="91+ days"/>
    <n v="2013.25"/>
    <n v="2013.25"/>
  </r>
  <r>
    <x v="4"/>
    <d v="2022-11-09T00:00:00"/>
    <s v="Bill"/>
    <n v="36758568"/>
    <s v="WISENBAKER BUILDER SERVICES,INC."/>
    <d v="2022-11-09T00:00:00"/>
    <n v="255"/>
    <s v="91+ days"/>
    <n v="1977.3"/>
    <n v="1977.3"/>
  </r>
  <r>
    <x v="4"/>
    <d v="2022-11-09T00:00:00"/>
    <s v="Bill"/>
    <n v="36758570"/>
    <s v="WISENBAKER BUILDER SERVICES,INC."/>
    <d v="2022-11-09T00:00:00"/>
    <n v="255"/>
    <s v="91+ days"/>
    <n v="1350.05"/>
    <n v="1350.05"/>
  </r>
  <r>
    <x v="4"/>
    <d v="2022-11-09T00:00:00"/>
    <s v="Bill"/>
    <s v="AC899750"/>
    <s v="Roome Land Surveying"/>
    <d v="2022-11-09T00:00:00"/>
    <n v="255"/>
    <s v="91+ days"/>
    <n v="500"/>
    <n v="500"/>
  </r>
  <r>
    <x v="4"/>
    <d v="2022-10-11T00:00:00"/>
    <s v="Bill"/>
    <n v="91135"/>
    <s v="Oldham Lumber Company"/>
    <d v="2022-11-10T00:00:00"/>
    <n v="254"/>
    <s v="91+ days"/>
    <n v="147.44"/>
    <n v="147.44"/>
  </r>
  <r>
    <x v="4"/>
    <d v="2022-10-11T00:00:00"/>
    <s v="Bill"/>
    <n v="91136"/>
    <s v="Oldham Lumber Company"/>
    <d v="2022-11-10T00:00:00"/>
    <n v="254"/>
    <s v="91+ days"/>
    <n v="147.44"/>
    <n v="147.44"/>
  </r>
  <r>
    <x v="4"/>
    <d v="2022-10-11T00:00:00"/>
    <s v="Bill"/>
    <n v="91138"/>
    <s v="Oldham Lumber Company"/>
    <d v="2022-11-10T00:00:00"/>
    <n v="254"/>
    <s v="91+ days"/>
    <n v="147.44"/>
    <n v="147.44"/>
  </r>
  <r>
    <x v="4"/>
    <d v="2022-11-10T00:00:00"/>
    <s v="Bill"/>
    <s v="12619236RI(Paid viaCC"/>
    <s v="ACME Brick"/>
    <d v="2022-11-10T00:00:00"/>
    <n v="254"/>
    <s v="91+ days"/>
    <n v="10923.61"/>
    <n v="10923.61"/>
  </r>
  <r>
    <x v="4"/>
    <d v="2022-11-12T00:00:00"/>
    <s v="Bill"/>
    <n v="36759552"/>
    <s v="WISENBAKER BUILDER SERVICES,INC."/>
    <d v="2022-11-12T00:00:00"/>
    <n v="252"/>
    <s v="91+ days"/>
    <n v="1959.3"/>
    <n v="1959.3"/>
  </r>
  <r>
    <x v="4"/>
    <d v="2022-11-15T00:00:00"/>
    <s v="Bill"/>
    <n v="3103716"/>
    <s v="Burgess Construction Consultants Inc"/>
    <d v="2022-11-15T00:00:00"/>
    <n v="249"/>
    <s v="91+ days"/>
    <n v="6550"/>
    <n v="6550"/>
  </r>
  <r>
    <x v="4"/>
    <d v="2022-11-15T00:00:00"/>
    <s v="Bill"/>
    <n v="670862"/>
    <s v="L&amp;S Mechanical - Plumbing"/>
    <d v="2022-11-15T00:00:00"/>
    <n v="249"/>
    <s v="91+ days"/>
    <n v="5680"/>
    <n v="5680"/>
  </r>
  <r>
    <x v="4"/>
    <d v="2022-11-15T00:00:00"/>
    <s v="Bill"/>
    <n v="670866"/>
    <s v="L&amp;S Mechanical - Plumbing"/>
    <d v="2022-11-15T00:00:00"/>
    <n v="249"/>
    <s v="91+ days"/>
    <n v="5680"/>
    <n v="5680"/>
  </r>
  <r>
    <x v="4"/>
    <d v="2022-11-15T00:00:00"/>
    <s v="Bill"/>
    <n v="88199"/>
    <s v="L&amp;S Mechanical - Electric"/>
    <d v="2022-11-15T00:00:00"/>
    <n v="249"/>
    <s v="91+ days"/>
    <n v="5364.6"/>
    <n v="2937.4"/>
  </r>
  <r>
    <x v="4"/>
    <d v="2022-11-15T00:00:00"/>
    <s v="Bill"/>
    <n v="108337"/>
    <s v="L&amp;S Mechanical - HVAC"/>
    <d v="2022-11-15T00:00:00"/>
    <n v="249"/>
    <s v="91+ days"/>
    <n v="3936.8"/>
    <n v="3936.8"/>
  </r>
  <r>
    <x v="4"/>
    <d v="2022-11-15T00:00:00"/>
    <s v="Bill"/>
    <n v="108338"/>
    <s v="L&amp;S Mechanical - HVAC"/>
    <d v="2022-11-15T00:00:00"/>
    <n v="249"/>
    <s v="91+ days"/>
    <n v="3862.4"/>
    <n v="3862.4"/>
  </r>
  <r>
    <x v="4"/>
    <d v="2022-11-15T00:00:00"/>
    <s v="Bill"/>
    <n v="108339"/>
    <s v="L&amp;S Mechanical - HVAC"/>
    <d v="2022-11-15T00:00:00"/>
    <n v="249"/>
    <s v="91+ days"/>
    <n v="3862.4"/>
    <n v="3862.4"/>
  </r>
  <r>
    <x v="4"/>
    <d v="2022-11-15T00:00:00"/>
    <s v="Bill"/>
    <n v="108340"/>
    <s v="L&amp;S Mechanical - HVAC"/>
    <d v="2022-11-15T00:00:00"/>
    <n v="249"/>
    <s v="91+ days"/>
    <n v="3862.4"/>
    <n v="3862.4"/>
  </r>
  <r>
    <x v="4"/>
    <d v="2022-11-15T00:00:00"/>
    <s v="Bill"/>
    <n v="670864"/>
    <s v="L&amp;S Mechanical - Plumbing"/>
    <d v="2022-11-15T00:00:00"/>
    <n v="249"/>
    <s v="91+ days"/>
    <n v="350"/>
    <n v="350"/>
  </r>
  <r>
    <x v="4"/>
    <d v="2022-11-15T00:00:00"/>
    <s v="Bill"/>
    <n v="670867"/>
    <s v="L&amp;S Mechanical - Plumbing"/>
    <d v="2022-11-15T00:00:00"/>
    <n v="249"/>
    <s v="91+ days"/>
    <n v="350"/>
    <n v="350"/>
  </r>
  <r>
    <x v="4"/>
    <d v="2022-11-16T00:00:00"/>
    <s v="Bill"/>
    <n v="3091125"/>
    <s v="Burgess Construction Consultants Inc"/>
    <d v="2022-11-16T00:00:00"/>
    <n v="248"/>
    <s v="91+ days"/>
    <n v="190"/>
    <n v="190"/>
  </r>
  <r>
    <x v="4"/>
    <d v="2022-11-16T00:00:00"/>
    <s v="Bill"/>
    <n v="89088017"/>
    <s v="HomeTeam Pest Defense Inc"/>
    <d v="2022-11-16T00:00:00"/>
    <n v="248"/>
    <s v="91+ days"/>
    <n v="97.37"/>
    <n v="97.37"/>
  </r>
  <r>
    <x v="4"/>
    <d v="2022-11-17T00:00:00"/>
    <s v="Bill"/>
    <n v="36762463"/>
    <s v="WISENBAKER BUILDER SERVICES,INC."/>
    <d v="2022-11-17T00:00:00"/>
    <n v="247"/>
    <s v="91+ days"/>
    <n v="2491"/>
    <n v="2491"/>
  </r>
  <r>
    <x v="4"/>
    <d v="2022-11-17T00:00:00"/>
    <s v="Bill"/>
    <n v="3105173"/>
    <s v="Burgess Construction Consultants Inc"/>
    <d v="2022-11-17T00:00:00"/>
    <n v="247"/>
    <s v="91+ days"/>
    <n v="125"/>
    <n v="125"/>
  </r>
  <r>
    <x v="4"/>
    <d v="2022-11-18T00:00:00"/>
    <s v="Bill"/>
    <n v="625866"/>
    <s v="Potter Concrete Residential LTD"/>
    <d v="2022-11-18T00:00:00"/>
    <n v="246"/>
    <s v="91+ days"/>
    <n v="2405.5"/>
    <n v="2405.5"/>
  </r>
  <r>
    <x v="4"/>
    <d v="2022-11-18T00:00:00"/>
    <s v="Bill"/>
    <n v="625863"/>
    <s v="Potter Concrete Residential LTD"/>
    <d v="2022-11-18T00:00:00"/>
    <n v="246"/>
    <s v="91+ days"/>
    <n v="2002.2"/>
    <n v="2002.2"/>
  </r>
  <r>
    <x v="4"/>
    <d v="2022-11-18T00:00:00"/>
    <s v="Bill"/>
    <n v="625864"/>
    <s v="Potter Concrete Residential LTD"/>
    <d v="2022-11-18T00:00:00"/>
    <n v="246"/>
    <s v="91+ days"/>
    <n v="2002.2"/>
    <n v="2002.2"/>
  </r>
  <r>
    <x v="4"/>
    <d v="2022-11-18T00:00:00"/>
    <s v="Bill"/>
    <n v="625865"/>
    <s v="Potter Concrete Residential LTD"/>
    <d v="2022-11-18T00:00:00"/>
    <n v="246"/>
    <s v="91+ days"/>
    <n v="2002.2"/>
    <n v="2002.2"/>
  </r>
  <r>
    <x v="4"/>
    <d v="2022-11-20T00:00:00"/>
    <s v="Bill"/>
    <n v="626693"/>
    <s v="Potter Concrete Residential LTD"/>
    <d v="2022-11-20T00:00:00"/>
    <n v="244"/>
    <s v="91+ days"/>
    <n v="600"/>
    <n v="600"/>
  </r>
  <r>
    <x v="4"/>
    <d v="2022-11-22T00:00:00"/>
    <s v="Bill"/>
    <n v="36764712"/>
    <s v="WISENBAKER BUILDER SERVICES,INC."/>
    <d v="2022-11-22T00:00:00"/>
    <n v="242"/>
    <s v="91+ days"/>
    <n v="459.68"/>
    <n v="459.68"/>
  </r>
  <r>
    <x v="4"/>
    <d v="2022-11-23T00:00:00"/>
    <s v="Bill"/>
    <n v="672344"/>
    <s v="L&amp;S Mechanical - Plumbing"/>
    <d v="2022-11-23T00:00:00"/>
    <n v="241"/>
    <s v="91+ days"/>
    <n v="200"/>
    <n v="200"/>
  </r>
  <r>
    <x v="4"/>
    <d v="2022-10-28T00:00:00"/>
    <s v="Bill"/>
    <n v="10123726"/>
    <s v="Fireside Hearth &amp; Home"/>
    <d v="2022-11-27T00:00:00"/>
    <n v="237"/>
    <s v="91+ days"/>
    <n v="1100"/>
    <n v="1100"/>
  </r>
  <r>
    <x v="4"/>
    <d v="2022-10-28T00:00:00"/>
    <s v="Bill"/>
    <n v="10123727"/>
    <s v="Fireside Hearth &amp; Home"/>
    <d v="2022-11-27T00:00:00"/>
    <n v="237"/>
    <s v="91+ days"/>
    <n v="1100"/>
    <n v="1100"/>
  </r>
  <r>
    <x v="4"/>
    <d v="2022-10-28T00:00:00"/>
    <s v="Bill"/>
    <n v="10123728"/>
    <s v="Fireside Hearth &amp; Home"/>
    <d v="2022-11-27T00:00:00"/>
    <n v="237"/>
    <s v="91+ days"/>
    <n v="1100"/>
    <n v="1100"/>
  </r>
  <r>
    <x v="4"/>
    <d v="2022-10-28T00:00:00"/>
    <s v="Bill"/>
    <n v="10123740"/>
    <s v="Fireside Hearth &amp; Home"/>
    <d v="2022-11-27T00:00:00"/>
    <n v="237"/>
    <s v="91+ days"/>
    <n v="1100"/>
    <n v="1100"/>
  </r>
  <r>
    <x v="4"/>
    <d v="2022-10-28T00:00:00"/>
    <s v="Bill"/>
    <n v="10123725"/>
    <s v="Fireside Hearth &amp; Home"/>
    <d v="2022-11-27T00:00:00"/>
    <n v="237"/>
    <s v="91+ days"/>
    <n v="1100"/>
    <n v="1100"/>
  </r>
  <r>
    <x v="4"/>
    <d v="2022-11-28T00:00:00"/>
    <s v="Bill"/>
    <n v="36766016"/>
    <s v="WISENBAKER BUILDER SERVICES,INC."/>
    <d v="2022-11-28T00:00:00"/>
    <n v="236"/>
    <s v="91+ days"/>
    <n v="9100"/>
    <n v="9100"/>
  </r>
  <r>
    <x v="4"/>
    <d v="2022-11-28T00:00:00"/>
    <s v="Bill"/>
    <n v="36766017"/>
    <s v="WISENBAKER BUILDER SERVICES,INC."/>
    <d v="2022-11-28T00:00:00"/>
    <n v="236"/>
    <s v="91+ days"/>
    <n v="7446"/>
    <n v="7446"/>
  </r>
  <r>
    <x v="4"/>
    <d v="2022-11-29T00:00:00"/>
    <s v="Bill"/>
    <n v="36767240"/>
    <s v="WISENBAKER BUILDER SERVICES,INC."/>
    <d v="2022-11-29T00:00:00"/>
    <n v="235"/>
    <s v="91+ days"/>
    <n v="9851"/>
    <n v="9851"/>
  </r>
  <r>
    <x v="4"/>
    <d v="2022-11-29T00:00:00"/>
    <s v="Bill"/>
    <n v="672994"/>
    <s v="L&amp;S Mechanical - Plumbing"/>
    <d v="2022-11-29T00:00:00"/>
    <n v="235"/>
    <s v="91+ days"/>
    <n v="3660"/>
    <n v="3660"/>
  </r>
  <r>
    <x v="4"/>
    <d v="2022-11-29T00:00:00"/>
    <s v="Bill"/>
    <n v="672995"/>
    <s v="L&amp;S Mechanical - Plumbing"/>
    <d v="2022-11-29T00:00:00"/>
    <n v="235"/>
    <s v="91+ days"/>
    <n v="3660"/>
    <n v="3660"/>
  </r>
  <r>
    <x v="4"/>
    <d v="2022-11-29T00:00:00"/>
    <s v="Bill"/>
    <n v="672996"/>
    <s v="L&amp;S Mechanical - Plumbing"/>
    <d v="2022-11-29T00:00:00"/>
    <n v="235"/>
    <s v="91+ days"/>
    <n v="3660"/>
    <n v="3660"/>
  </r>
  <r>
    <x v="4"/>
    <d v="2022-11-29T00:00:00"/>
    <s v="Bill"/>
    <n v="672997"/>
    <s v="L&amp;S Mechanical - Plumbing"/>
    <d v="2022-11-29T00:00:00"/>
    <n v="235"/>
    <s v="91+ days"/>
    <n v="3660"/>
    <n v="3660"/>
  </r>
  <r>
    <x v="4"/>
    <d v="2022-11-29T00:00:00"/>
    <s v="Bill"/>
    <n v="36767241"/>
    <s v="WISENBAKER BUILDER SERVICES,INC."/>
    <d v="2022-11-29T00:00:00"/>
    <n v="235"/>
    <s v="91+ days"/>
    <n v="2782.5"/>
    <n v="2782.5"/>
  </r>
  <r>
    <x v="4"/>
    <d v="2022-11-29T00:00:00"/>
    <s v="Bill"/>
    <n v="36767242"/>
    <s v="WISENBAKER BUILDER SERVICES,INC."/>
    <d v="2022-11-29T00:00:00"/>
    <n v="235"/>
    <s v="91+ days"/>
    <n v="1508.1"/>
    <n v="1508.1"/>
  </r>
  <r>
    <x v="4"/>
    <d v="2022-11-29T00:00:00"/>
    <s v="Bill"/>
    <n v="36767243"/>
    <s v="WISENBAKER BUILDER SERVICES,INC."/>
    <d v="2022-11-29T00:00:00"/>
    <n v="235"/>
    <s v="91+ days"/>
    <n v="1422.45"/>
    <n v="1422.45"/>
  </r>
  <r>
    <x v="4"/>
    <d v="2022-12-01T00:00:00"/>
    <s v="Bill"/>
    <n v="631720"/>
    <s v="Potter Concrete Residential LTD"/>
    <d v="2022-12-01T00:00:00"/>
    <n v="233"/>
    <s v="91+ days"/>
    <n v="3766.26"/>
    <n v="3766.26"/>
  </r>
  <r>
    <x v="4"/>
    <d v="2022-12-01T00:00:00"/>
    <s v="Bill"/>
    <n v="631724"/>
    <s v="Potter Concrete Residential LTD"/>
    <d v="2022-12-01T00:00:00"/>
    <n v="233"/>
    <s v="91+ days"/>
    <n v="3162.74"/>
    <n v="3162.74"/>
  </r>
  <r>
    <x v="4"/>
    <d v="2022-12-01T00:00:00"/>
    <s v="Bill"/>
    <n v="631700"/>
    <s v="Potter Concrete Residential LTD"/>
    <d v="2022-12-01T00:00:00"/>
    <n v="233"/>
    <s v="91+ days"/>
    <n v="579.5"/>
    <n v="579.5"/>
  </r>
  <r>
    <x v="4"/>
    <d v="2022-12-01T00:00:00"/>
    <s v="Bill"/>
    <n v="631708"/>
    <s v="Potter Concrete Residential LTD"/>
    <d v="2022-12-01T00:00:00"/>
    <n v="233"/>
    <s v="91+ days"/>
    <n v="579.5"/>
    <n v="579.5"/>
  </r>
  <r>
    <x v="4"/>
    <d v="2022-12-01T00:00:00"/>
    <s v="Bill"/>
    <n v="631718"/>
    <s v="Potter Concrete Residential LTD"/>
    <d v="2022-12-01T00:00:00"/>
    <n v="233"/>
    <s v="91+ days"/>
    <n v="579.5"/>
    <n v="579.5"/>
  </r>
  <r>
    <x v="4"/>
    <d v="2022-12-01T00:00:00"/>
    <s v="Bill"/>
    <n v="631701"/>
    <s v="Potter Concrete Residential LTD"/>
    <d v="2022-12-01T00:00:00"/>
    <n v="233"/>
    <s v="91+ days"/>
    <n v="510.81"/>
    <n v="510.81"/>
  </r>
  <r>
    <x v="4"/>
    <d v="2022-12-01T00:00:00"/>
    <s v="Bill"/>
    <n v="631705"/>
    <s v="Potter Concrete Residential LTD"/>
    <d v="2022-12-01T00:00:00"/>
    <n v="233"/>
    <s v="91+ days"/>
    <n v="510.81"/>
    <n v="510.81"/>
  </r>
  <r>
    <x v="4"/>
    <d v="2022-12-01T00:00:00"/>
    <s v="Bill"/>
    <n v="631703"/>
    <s v="Potter Concrete Residential LTD"/>
    <d v="2022-12-01T00:00:00"/>
    <n v="233"/>
    <s v="91+ days"/>
    <n v="510.43"/>
    <n v="510.43"/>
  </r>
  <r>
    <x v="4"/>
    <d v="2022-12-01T00:00:00"/>
    <s v="Bill"/>
    <n v="631704"/>
    <s v="Potter Concrete Residential LTD"/>
    <d v="2022-12-01T00:00:00"/>
    <n v="233"/>
    <s v="91+ days"/>
    <n v="510.43"/>
    <n v="510.43"/>
  </r>
  <r>
    <x v="4"/>
    <d v="2022-12-01T00:00:00"/>
    <s v="Bill"/>
    <n v="631715"/>
    <s v="Potter Concrete Residential LTD"/>
    <d v="2022-12-01T00:00:00"/>
    <n v="233"/>
    <s v="91+ days"/>
    <n v="510.43"/>
    <n v="510.43"/>
  </r>
  <r>
    <x v="4"/>
    <d v="2022-12-07T00:00:00"/>
    <s v="Bill"/>
    <n v="675206"/>
    <s v="L&amp;S Mechanical - Plumbing"/>
    <d v="2022-12-07T00:00:00"/>
    <n v="227"/>
    <s v="91+ days"/>
    <n v="1274"/>
    <n v="1274"/>
  </r>
  <r>
    <x v="4"/>
    <d v="2022-12-07T00:00:00"/>
    <s v="Bill"/>
    <n v="675147"/>
    <s v="L&amp;S Mechanical - Plumbing"/>
    <d v="2022-12-07T00:00:00"/>
    <n v="227"/>
    <s v="91+ days"/>
    <n v="1274"/>
    <n v="1274"/>
  </r>
  <r>
    <x v="4"/>
    <d v="2022-12-08T00:00:00"/>
    <s v="Bill"/>
    <n v="36772410"/>
    <s v="WISENBAKER BUILDER SERVICES,INC."/>
    <d v="2022-12-08T00:00:00"/>
    <n v="226"/>
    <s v="91+ days"/>
    <n v="1908"/>
    <n v="1908"/>
  </r>
  <r>
    <x v="4"/>
    <d v="2022-11-09T00:00:00"/>
    <s v="Bill"/>
    <n v="3008"/>
    <s v="Texas Select Erosion"/>
    <d v="2022-12-09T00:00:00"/>
    <n v="225"/>
    <s v="91+ days"/>
    <n v="930.5"/>
    <n v="930.5"/>
  </r>
  <r>
    <x v="4"/>
    <d v="2022-11-09T00:00:00"/>
    <s v="Bill"/>
    <n v="10138073"/>
    <s v="Fireside Hearth &amp; Home"/>
    <d v="2022-12-09T00:00:00"/>
    <n v="225"/>
    <s v="91+ days"/>
    <n v="345"/>
    <n v="345"/>
  </r>
  <r>
    <x v="4"/>
    <d v="2022-12-12T00:00:00"/>
    <s v="Bill"/>
    <n v="36778438"/>
    <s v="WISENBAKER BUILDER SERVICES,INC."/>
    <d v="2022-12-12T00:00:00"/>
    <n v="222"/>
    <s v="91+ days"/>
    <n v="1067.5"/>
    <n v="1067.5"/>
  </r>
  <r>
    <x v="4"/>
    <d v="2022-12-12T00:00:00"/>
    <s v="Bill"/>
    <n v="628961"/>
    <s v="Potter Concrete Residential LTD"/>
    <d v="2022-12-12T00:00:00"/>
    <n v="222"/>
    <s v="91+ days"/>
    <n v="1000"/>
    <n v="1000"/>
  </r>
  <r>
    <x v="4"/>
    <d v="2022-12-12T00:00:00"/>
    <s v="Bill"/>
    <n v="695662"/>
    <s v="BG Grading LLC"/>
    <d v="2022-12-12T00:00:00"/>
    <n v="222"/>
    <s v="91+ days"/>
    <n v="400"/>
    <n v="400"/>
  </r>
  <r>
    <x v="4"/>
    <d v="2022-12-12T00:00:00"/>
    <s v="Bill"/>
    <n v="695664"/>
    <s v="BG Grading LLC"/>
    <d v="2022-12-12T00:00:00"/>
    <n v="222"/>
    <s v="91+ days"/>
    <n v="200"/>
    <n v="200"/>
  </r>
  <r>
    <x v="4"/>
    <d v="2022-12-13T00:00:00"/>
    <s v="Bill"/>
    <n v="89680294"/>
    <s v="HomeTeam Pest Defense Inc"/>
    <d v="2022-12-13T00:00:00"/>
    <n v="221"/>
    <s v="91+ days"/>
    <n v="302.64"/>
    <n v="302.64"/>
  </r>
  <r>
    <x v="4"/>
    <d v="2022-12-13T00:00:00"/>
    <s v="Bill"/>
    <n v="89680200"/>
    <s v="HomeTeam Pest Defense Inc"/>
    <d v="2022-12-13T00:00:00"/>
    <n v="221"/>
    <s v="91+ days"/>
    <n v="302.64"/>
    <n v="302.64"/>
  </r>
  <r>
    <x v="4"/>
    <d v="2022-12-13T00:00:00"/>
    <s v="Bill"/>
    <n v="89680286"/>
    <s v="HomeTeam Pest Defense Inc"/>
    <d v="2022-12-13T00:00:00"/>
    <n v="221"/>
    <s v="91+ days"/>
    <n v="302.64"/>
    <n v="302.64"/>
  </r>
  <r>
    <x v="4"/>
    <d v="2022-12-13T00:00:00"/>
    <s v="Bill"/>
    <n v="89680215"/>
    <s v="HomeTeam Pest Defense Inc"/>
    <d v="2022-12-13T00:00:00"/>
    <n v="221"/>
    <s v="91+ days"/>
    <n v="302.64"/>
    <n v="302.64"/>
  </r>
  <r>
    <x v="4"/>
    <d v="2022-12-13T00:00:00"/>
    <s v="Bill"/>
    <n v="89680263"/>
    <s v="HomeTeam Pest Defense Inc"/>
    <d v="2022-12-13T00:00:00"/>
    <n v="221"/>
    <s v="91+ days"/>
    <n v="302.64"/>
    <n v="302.64"/>
  </r>
  <r>
    <x v="4"/>
    <d v="2022-12-13T00:00:00"/>
    <s v="Bill"/>
    <n v="89680219"/>
    <s v="HomeTeam Pest Defense Inc"/>
    <d v="2022-12-13T00:00:00"/>
    <n v="221"/>
    <s v="91+ days"/>
    <n v="302.64"/>
    <n v="302.64"/>
  </r>
  <r>
    <x v="4"/>
    <d v="2022-12-13T00:00:00"/>
    <s v="Bill"/>
    <n v="89680189"/>
    <s v="HomeTeam Pest Defense Inc"/>
    <d v="2022-12-13T00:00:00"/>
    <n v="221"/>
    <s v="91+ days"/>
    <n v="150"/>
    <n v="150"/>
  </r>
  <r>
    <x v="4"/>
    <d v="2022-12-13T00:00:00"/>
    <s v="Bill"/>
    <n v="89680292"/>
    <s v="HomeTeam Pest Defense Inc"/>
    <d v="2022-12-13T00:00:00"/>
    <n v="221"/>
    <s v="91+ days"/>
    <n v="150"/>
    <n v="150"/>
  </r>
  <r>
    <x v="4"/>
    <d v="2022-12-13T00:00:00"/>
    <s v="Bill"/>
    <n v="89680210"/>
    <s v="HomeTeam Pest Defense Inc"/>
    <d v="2022-12-13T00:00:00"/>
    <n v="221"/>
    <s v="91+ days"/>
    <n v="150"/>
    <n v="150"/>
  </r>
  <r>
    <x v="4"/>
    <d v="2022-12-13T00:00:00"/>
    <s v="Bill"/>
    <n v="89680265"/>
    <s v="HomeTeam Pest Defense Inc"/>
    <d v="2022-12-13T00:00:00"/>
    <n v="221"/>
    <s v="91+ days"/>
    <n v="150"/>
    <n v="150"/>
  </r>
  <r>
    <x v="4"/>
    <d v="2022-12-13T00:00:00"/>
    <s v="Bill"/>
    <n v="89680260"/>
    <s v="HomeTeam Pest Defense Inc"/>
    <d v="2022-12-13T00:00:00"/>
    <n v="221"/>
    <s v="91+ days"/>
    <n v="150"/>
    <n v="150"/>
  </r>
  <r>
    <x v="4"/>
    <d v="2022-12-13T00:00:00"/>
    <s v="Bill"/>
    <n v="89680216"/>
    <s v="HomeTeam Pest Defense Inc"/>
    <d v="2022-12-13T00:00:00"/>
    <n v="221"/>
    <s v="91+ days"/>
    <n v="150"/>
    <n v="150"/>
  </r>
  <r>
    <x v="4"/>
    <d v="2022-12-14T00:00:00"/>
    <s v="Bill"/>
    <s v="C300433"/>
    <s v="Fashion Glass &amp; Mirror"/>
    <d v="2022-12-14T00:00:00"/>
    <n v="220"/>
    <s v="91+ days"/>
    <n v="3602.7"/>
    <n v="3602.7"/>
  </r>
  <r>
    <x v="4"/>
    <d v="2022-12-14T00:00:00"/>
    <s v="Bill"/>
    <s v="C300432"/>
    <s v="Fashion Glass &amp; Mirror"/>
    <d v="2022-12-14T00:00:00"/>
    <n v="220"/>
    <s v="91+ days"/>
    <n v="3586.38"/>
    <n v="3586.38"/>
  </r>
  <r>
    <x v="4"/>
    <d v="2022-12-14T00:00:00"/>
    <s v="Bill"/>
    <s v="C300435"/>
    <s v="Fashion Glass &amp; Mirror"/>
    <d v="2022-12-14T00:00:00"/>
    <n v="220"/>
    <s v="91+ days"/>
    <n v="3521.33"/>
    <n v="3521.33"/>
  </r>
  <r>
    <x v="4"/>
    <d v="2022-12-14T00:00:00"/>
    <s v="Bill"/>
    <s v="C300434"/>
    <s v="Fashion Glass &amp; Mirror"/>
    <d v="2022-12-14T00:00:00"/>
    <n v="220"/>
    <s v="91+ days"/>
    <n v="3516.87"/>
    <n v="3516.87"/>
  </r>
  <r>
    <x v="4"/>
    <d v="2022-12-15T00:00:00"/>
    <s v="Bill"/>
    <s v="INV#139919"/>
    <s v="Alliance Materials, Inc."/>
    <d v="2022-12-15T00:00:00"/>
    <n v="219"/>
    <s v="91+ days"/>
    <n v="420.88"/>
    <n v="420.88"/>
  </r>
  <r>
    <x v="4"/>
    <d v="2022-12-15T00:00:00"/>
    <s v="Bill"/>
    <s v="INV#139921"/>
    <s v="Alliance Materials, Inc."/>
    <d v="2022-12-15T00:00:00"/>
    <n v="219"/>
    <s v="91+ days"/>
    <n v="420.88"/>
    <n v="420.88"/>
  </r>
  <r>
    <x v="4"/>
    <d v="2022-12-15T00:00:00"/>
    <s v="Bill"/>
    <s v="INV# 139922"/>
    <s v="Alliance Materials, Inc."/>
    <d v="2022-12-15T00:00:00"/>
    <n v="219"/>
    <s v="91+ days"/>
    <n v="420.88"/>
    <n v="420.88"/>
  </r>
  <r>
    <x v="4"/>
    <d v="2022-12-15T00:00:00"/>
    <s v="Bill"/>
    <s v="INV#139923"/>
    <s v="Alliance Materials, Inc."/>
    <d v="2022-12-15T00:00:00"/>
    <n v="219"/>
    <s v="91+ days"/>
    <n v="420.88"/>
    <n v="420.88"/>
  </r>
  <r>
    <x v="4"/>
    <d v="2022-12-15T00:00:00"/>
    <s v="Bill"/>
    <s v="INV# 139925"/>
    <s v="Alliance Materials, Inc."/>
    <d v="2022-12-15T00:00:00"/>
    <n v="219"/>
    <s v="91+ days"/>
    <n v="420.88"/>
    <n v="420.88"/>
  </r>
  <r>
    <x v="4"/>
    <d v="2022-12-15T00:00:00"/>
    <s v="Bill"/>
    <s v="INV# 139927"/>
    <s v="Alliance Materials, Inc."/>
    <d v="2022-12-15T00:00:00"/>
    <n v="219"/>
    <s v="91+ days"/>
    <n v="420.88"/>
    <n v="420.88"/>
  </r>
  <r>
    <x v="4"/>
    <d v="2022-12-01T00:00:00"/>
    <s v="Bill"/>
    <n v="26155"/>
    <s v="BAKER CLEARVIEW OPERATING, LLC"/>
    <d v="2022-12-16T00:00:00"/>
    <n v="218"/>
    <s v="91+ days"/>
    <n v="300"/>
    <n v="300"/>
  </r>
  <r>
    <x v="4"/>
    <d v="2022-12-19T00:00:00"/>
    <s v="Bill"/>
    <n v="110902"/>
    <s v="L&amp;S Mechanical - HVAC"/>
    <d v="2022-12-19T00:00:00"/>
    <n v="215"/>
    <s v="91+ days"/>
    <n v="4643"/>
    <n v="4643"/>
  </r>
  <r>
    <x v="4"/>
    <d v="2022-12-19T00:00:00"/>
    <s v="Bill"/>
    <n v="36776854"/>
    <s v="WISENBAKER BUILDER SERVICES,INC."/>
    <d v="2022-12-19T00:00:00"/>
    <n v="215"/>
    <s v="91+ days"/>
    <n v="2289.2600000000002"/>
    <n v="2289.2600000000002"/>
  </r>
  <r>
    <x v="4"/>
    <d v="2022-12-19T00:00:00"/>
    <s v="Bill"/>
    <n v="36776830"/>
    <s v="WISENBAKER BUILDER SERVICES,INC."/>
    <d v="2022-12-19T00:00:00"/>
    <n v="215"/>
    <s v="91+ days"/>
    <n v="822.5"/>
    <n v="822.5"/>
  </r>
  <r>
    <x v="4"/>
    <d v="2022-12-19T00:00:00"/>
    <s v="Bill"/>
    <n v="110903"/>
    <s v="L&amp;S Mechanical - HVAC"/>
    <d v="2022-12-19T00:00:00"/>
    <n v="215"/>
    <s v="91+ days"/>
    <n v="250"/>
    <n v="250"/>
  </r>
  <r>
    <x v="4"/>
    <d v="2022-12-19T00:00:00"/>
    <s v="Bill"/>
    <n v="677170"/>
    <s v="L&amp;S Mechanical - Plumbing"/>
    <d v="2022-12-19T00:00:00"/>
    <n v="215"/>
    <s v="91+ days"/>
    <n v="250"/>
    <n v="250"/>
  </r>
  <r>
    <x v="4"/>
    <d v="2022-12-19T00:00:00"/>
    <s v="Bill"/>
    <n v="677171"/>
    <s v="L&amp;S Mechanical - Plumbing"/>
    <d v="2022-12-19T00:00:00"/>
    <n v="215"/>
    <s v="91+ days"/>
    <n v="250"/>
    <n v="250"/>
  </r>
  <r>
    <x v="4"/>
    <d v="2022-12-19T00:00:00"/>
    <s v="Bill"/>
    <n v="677172"/>
    <s v="L&amp;S Mechanical - Plumbing"/>
    <d v="2022-12-19T00:00:00"/>
    <n v="215"/>
    <s v="91+ days"/>
    <n v="250"/>
    <n v="250"/>
  </r>
  <r>
    <x v="4"/>
    <d v="2022-12-19T00:00:00"/>
    <s v="Bill"/>
    <n v="36776829"/>
    <s v="WISENBAKER BUILDER SERVICES,INC."/>
    <d v="2022-12-19T00:00:00"/>
    <n v="215"/>
    <s v="91+ days"/>
    <n v="202"/>
    <n v="202"/>
  </r>
  <r>
    <x v="4"/>
    <d v="2022-12-19T00:00:00"/>
    <s v="Bill"/>
    <n v="677166"/>
    <s v="L&amp;S Mechanical - Plumbing"/>
    <d v="2022-12-19T00:00:00"/>
    <n v="215"/>
    <s v="91+ days"/>
    <n v="200"/>
    <n v="200"/>
  </r>
  <r>
    <x v="4"/>
    <d v="2022-12-19T00:00:00"/>
    <s v="Bill"/>
    <n v="677167"/>
    <s v="L&amp;S Mechanical - Plumbing"/>
    <d v="2022-12-19T00:00:00"/>
    <n v="215"/>
    <s v="91+ days"/>
    <n v="200"/>
    <n v="200"/>
  </r>
  <r>
    <x v="4"/>
    <d v="2022-12-19T00:00:00"/>
    <s v="Bill"/>
    <n v="677168"/>
    <s v="L&amp;S Mechanical - Plumbing"/>
    <d v="2022-12-19T00:00:00"/>
    <n v="215"/>
    <s v="91+ days"/>
    <n v="200"/>
    <n v="200"/>
  </r>
  <r>
    <x v="4"/>
    <d v="2022-12-19T00:00:00"/>
    <s v="Bill"/>
    <n v="677169"/>
    <s v="L&amp;S Mechanical - Plumbing"/>
    <d v="2022-12-19T00:00:00"/>
    <n v="215"/>
    <s v="91+ days"/>
    <n v="200"/>
    <n v="200"/>
  </r>
  <r>
    <x v="4"/>
    <d v="2022-12-19T00:00:00"/>
    <s v="Bill"/>
    <n v="36776831"/>
    <s v="WISENBAKER BUILDER SERVICES,INC."/>
    <d v="2022-12-19T00:00:00"/>
    <n v="215"/>
    <s v="91+ days"/>
    <n v="166"/>
    <n v="166"/>
  </r>
  <r>
    <x v="4"/>
    <d v="2022-12-20T00:00:00"/>
    <s v="Bill"/>
    <n v="629625"/>
    <s v="Potter Concrete Residential LTD"/>
    <d v="2022-12-20T00:00:00"/>
    <n v="214"/>
    <s v="91+ days"/>
    <n v="950"/>
    <n v="950"/>
  </r>
  <r>
    <x v="4"/>
    <d v="2022-12-20T00:00:00"/>
    <s v="Bill"/>
    <s v="INV#140523"/>
    <s v="Alliance Materials, Inc."/>
    <d v="2022-12-20T00:00:00"/>
    <n v="214"/>
    <s v="91+ days"/>
    <n v="650"/>
    <n v="650"/>
  </r>
  <r>
    <x v="4"/>
    <d v="2022-12-22T00:00:00"/>
    <s v="Bill"/>
    <n v="36765081"/>
    <s v="WISENBAKER BUILDER SERVICES,INC."/>
    <d v="2022-12-22T00:00:00"/>
    <n v="212"/>
    <s v="91+ days"/>
    <n v="3608"/>
    <n v="3608"/>
  </r>
  <r>
    <x v="4"/>
    <d v="2022-12-22T00:00:00"/>
    <s v="Bill"/>
    <n v="36778441"/>
    <s v="WISENBAKER BUILDER SERVICES,INC."/>
    <d v="2022-12-22T00:00:00"/>
    <n v="212"/>
    <s v="91+ days"/>
    <n v="1679"/>
    <n v="1679"/>
  </r>
  <r>
    <x v="4"/>
    <d v="2022-12-22T00:00:00"/>
    <s v="Bill"/>
    <n v="36778440"/>
    <s v="WISENBAKER BUILDER SERVICES,INC."/>
    <d v="2022-12-22T00:00:00"/>
    <n v="212"/>
    <s v="91+ days"/>
    <n v="1679"/>
    <n v="1679"/>
  </r>
  <r>
    <x v="4"/>
    <d v="2022-12-22T00:00:00"/>
    <s v="Bill"/>
    <n v="36778439"/>
    <s v="WISENBAKER BUILDER SERVICES,INC."/>
    <d v="2022-12-22T00:00:00"/>
    <n v="212"/>
    <s v="91+ days"/>
    <n v="1511.25"/>
    <n v="1511.25"/>
  </r>
  <r>
    <x v="4"/>
    <d v="2022-12-22T00:00:00"/>
    <s v="Bill"/>
    <s v="INV#140980"/>
    <s v="Alliance Materials, Inc."/>
    <d v="2022-12-22T00:00:00"/>
    <n v="212"/>
    <s v="91+ days"/>
    <n v="650"/>
    <n v="650"/>
  </r>
  <r>
    <x v="4"/>
    <d v="2022-12-22T00:00:00"/>
    <s v="Bill"/>
    <n v="36778437"/>
    <s v="WISENBAKER BUILDER SERVICES,INC."/>
    <d v="2022-12-22T00:00:00"/>
    <n v="212"/>
    <s v="91+ days"/>
    <n v="645.98"/>
    <n v="645.98"/>
  </r>
  <r>
    <x v="4"/>
    <d v="2022-12-22T00:00:00"/>
    <s v="Bill"/>
    <n v="36782250"/>
    <s v="WISENBAKER BUILDER SERVICES,INC."/>
    <d v="2022-12-22T00:00:00"/>
    <n v="212"/>
    <s v="91+ days"/>
    <n v="459.68"/>
    <n v="459.68"/>
  </r>
  <r>
    <x v="4"/>
    <d v="2022-11-23T00:00:00"/>
    <s v="Bill"/>
    <n v="10157556"/>
    <s v="Fireside Hearth &amp; Home"/>
    <d v="2022-12-23T00:00:00"/>
    <n v="211"/>
    <s v="91+ days"/>
    <n v="345"/>
    <n v="345"/>
  </r>
  <r>
    <x v="4"/>
    <d v="2022-11-23T00:00:00"/>
    <s v="Bill"/>
    <n v="10157558"/>
    <s v="Fireside Hearth &amp; Home"/>
    <d v="2022-12-23T00:00:00"/>
    <n v="211"/>
    <s v="91+ days"/>
    <n v="345"/>
    <n v="345"/>
  </r>
  <r>
    <x v="4"/>
    <d v="2022-11-23T00:00:00"/>
    <s v="Bill"/>
    <n v="10157640"/>
    <s v="Fireside Hearth &amp; Home"/>
    <d v="2022-12-23T00:00:00"/>
    <n v="211"/>
    <s v="91+ days"/>
    <n v="345"/>
    <n v="345"/>
  </r>
  <r>
    <x v="4"/>
    <d v="2022-12-23T00:00:00"/>
    <s v="Bill"/>
    <n v="111225"/>
    <s v="L&amp;S Mechanical - HVAC"/>
    <d v="2022-12-23T00:00:00"/>
    <n v="211"/>
    <s v="91+ days"/>
    <n v="500"/>
    <n v="500"/>
  </r>
  <r>
    <x v="4"/>
    <d v="2022-11-28T00:00:00"/>
    <s v="Bill"/>
    <n v="10159801"/>
    <s v="Fireside Hearth &amp; Home"/>
    <d v="2022-12-28T00:00:00"/>
    <n v="206"/>
    <s v="91+ days"/>
    <n v="345"/>
    <n v="345"/>
  </r>
  <r>
    <x v="4"/>
    <d v="2022-12-28T00:00:00"/>
    <s v="Bill"/>
    <n v="111420"/>
    <s v="L&amp;S Mechanical - HVAC"/>
    <d v="2022-12-28T00:00:00"/>
    <n v="206"/>
    <s v="91+ days"/>
    <n v="300"/>
    <n v="300"/>
  </r>
  <r>
    <x v="4"/>
    <d v="2022-12-28T00:00:00"/>
    <s v="Bill"/>
    <n v="111421"/>
    <s v="L&amp;S Mechanical - HVAC"/>
    <d v="2022-12-28T00:00:00"/>
    <n v="206"/>
    <s v="91+ days"/>
    <n v="300"/>
    <n v="300"/>
  </r>
  <r>
    <x v="4"/>
    <d v="2022-12-28T00:00:00"/>
    <s v="Bill"/>
    <n v="111422"/>
    <s v="L&amp;S Mechanical - HVAC"/>
    <d v="2022-12-28T00:00:00"/>
    <n v="206"/>
    <s v="91+ days"/>
    <n v="300"/>
    <n v="300"/>
  </r>
  <r>
    <x v="4"/>
    <d v="2022-12-28T00:00:00"/>
    <s v="Bill"/>
    <n v="111423"/>
    <s v="L&amp;S Mechanical - HVAC"/>
    <d v="2022-12-28T00:00:00"/>
    <n v="206"/>
    <s v="91+ days"/>
    <n v="300"/>
    <n v="300"/>
  </r>
  <r>
    <x v="4"/>
    <d v="2022-12-29T00:00:00"/>
    <s v="Bill"/>
    <n v="36780992"/>
    <s v="WISENBAKER BUILDER SERVICES,INC."/>
    <d v="2022-12-29T00:00:00"/>
    <n v="205"/>
    <s v="91+ days"/>
    <n v="2800"/>
    <n v="2800"/>
  </r>
  <r>
    <x v="4"/>
    <d v="2022-12-29T00:00:00"/>
    <s v="Bill"/>
    <n v="36781500"/>
    <s v="WISENBAKER BUILDER SERVICES,INC."/>
    <d v="2022-12-29T00:00:00"/>
    <n v="205"/>
    <s v="91+ days"/>
    <n v="459.68"/>
    <n v="459.68"/>
  </r>
  <r>
    <x v="4"/>
    <d v="2022-12-29T00:00:00"/>
    <s v="Bill"/>
    <n v="36781499"/>
    <s v="WISENBAKER BUILDER SERVICES,INC."/>
    <d v="2022-12-29T00:00:00"/>
    <n v="205"/>
    <s v="91+ days"/>
    <n v="459.68"/>
    <n v="459.68"/>
  </r>
  <r>
    <x v="4"/>
    <d v="2022-12-30T00:00:00"/>
    <s v="Bill"/>
    <n v="108341"/>
    <s v="L&amp;S Mechanical - HVAC"/>
    <d v="2022-12-30T00:00:00"/>
    <n v="204"/>
    <s v="91+ days"/>
    <n v="3936.8"/>
    <n v="3936.8"/>
  </r>
  <r>
    <x v="4"/>
    <d v="2022-12-30T00:00:00"/>
    <s v="Bill"/>
    <n v="108342"/>
    <s v="L&amp;S Mechanical - HVAC"/>
    <d v="2022-12-30T00:00:00"/>
    <n v="204"/>
    <s v="91+ days"/>
    <n v="250"/>
    <n v="250"/>
  </r>
  <r>
    <x v="4"/>
    <d v="2022-12-01T00:00:00"/>
    <s v="Bill"/>
    <s v="FCCTX/22/105276"/>
    <s v="FCC Environmental Service TX"/>
    <d v="2022-12-31T00:00:00"/>
    <n v="203"/>
    <s v="91+ days"/>
    <n v="206"/>
    <n v="206"/>
  </r>
  <r>
    <x v="4"/>
    <d v="2022-12-31T00:00:00"/>
    <s v="Journal Entry"/>
    <s v="Adj_AspenEngineers_Re"/>
    <s v="Aspen Enginners &amp; Builders LLC"/>
    <d v="2022-12-31T00:00:00"/>
    <n v="203"/>
    <s v="91+ days"/>
    <n v="617438.82999999996"/>
    <n v="617438.82999999996"/>
  </r>
  <r>
    <x v="4"/>
    <d v="2023-01-01T00:00:00"/>
    <s v="Bill"/>
    <n v="26286"/>
    <s v="BAKER CLEARVIEW OPERATING, LLC"/>
    <d v="2023-01-01T00:00:00"/>
    <n v="202"/>
    <s v="91+ days"/>
    <n v="300"/>
    <n v="300"/>
  </r>
  <r>
    <x v="4"/>
    <d v="2023-01-03T00:00:00"/>
    <s v="Bill"/>
    <n v="9645"/>
    <s v="Miller Services, Inc."/>
    <d v="2023-01-03T00:00:00"/>
    <n v="200"/>
    <s v="91+ days"/>
    <n v="5114.8100000000004"/>
    <n v="5114.8100000000004"/>
  </r>
  <r>
    <x v="4"/>
    <d v="2023-01-17T00:00:00"/>
    <s v="Bill"/>
    <n v="682539"/>
    <s v="L&amp;S Mechanical - Plumbing"/>
    <d v="2023-01-17T00:00:00"/>
    <n v="186"/>
    <s v="91+ days"/>
    <n v="1250.9000000000001"/>
    <n v="1250.9000000000001"/>
  </r>
  <r>
    <x v="4"/>
    <d v="2023-01-17T00:00:00"/>
    <s v="Bill"/>
    <n v="682541"/>
    <s v="L&amp;S Mechanical - Plumbing"/>
    <d v="2023-01-17T00:00:00"/>
    <n v="186"/>
    <s v="91+ days"/>
    <n v="1250.9000000000001"/>
    <n v="1250.9000000000001"/>
  </r>
  <r>
    <x v="4"/>
    <d v="2023-01-17T00:00:00"/>
    <s v="Bill"/>
    <n v="682543"/>
    <s v="L&amp;S Mechanical - Plumbing"/>
    <d v="2023-01-17T00:00:00"/>
    <n v="186"/>
    <s v="91+ days"/>
    <n v="1250.9000000000001"/>
    <n v="1250.9000000000001"/>
  </r>
  <r>
    <x v="4"/>
    <d v="2023-01-17T00:00:00"/>
    <s v="Bill"/>
    <n v="682544"/>
    <s v="L&amp;S Mechanical - Plumbing"/>
    <d v="2023-01-17T00:00:00"/>
    <n v="186"/>
    <s v="91+ days"/>
    <n v="1250.9000000000001"/>
    <n v="1250.9000000000001"/>
  </r>
  <r>
    <x v="4"/>
    <d v="2023-01-18T00:00:00"/>
    <s v="Bill"/>
    <n v="683035"/>
    <s v="L&amp;S Mechanical - Plumbing"/>
    <d v="2023-01-18T00:00:00"/>
    <n v="185"/>
    <s v="91+ days"/>
    <n v="250"/>
    <n v="250"/>
  </r>
  <r>
    <x v="4"/>
    <d v="2023-01-18T00:00:00"/>
    <s v="Bill"/>
    <n v="88215"/>
    <s v="Bullseye Balloon Promotions Inc."/>
    <d v="2023-01-18T00:00:00"/>
    <n v="185"/>
    <s v="91+ days"/>
    <n v="162.38"/>
    <n v="162.38"/>
  </r>
  <r>
    <x v="4"/>
    <d v="2023-01-30T00:00:00"/>
    <s v="Bill"/>
    <n v="685226"/>
    <s v="L&amp;S Mechanical - Plumbing"/>
    <d v="2023-01-30T00:00:00"/>
    <n v="173"/>
    <s v="91+ days"/>
    <n v="800"/>
    <n v="800"/>
  </r>
  <r>
    <x v="4"/>
    <d v="2023-01-30T00:00:00"/>
    <s v="Bill"/>
    <n v="685227"/>
    <s v="L&amp;S Mechanical - Plumbing"/>
    <d v="2023-01-30T00:00:00"/>
    <n v="173"/>
    <s v="91+ days"/>
    <n v="800"/>
    <n v="800"/>
  </r>
  <r>
    <x v="4"/>
    <d v="2023-01-30T00:00:00"/>
    <s v="Bill"/>
    <n v="685228"/>
    <s v="L&amp;S Mechanical - Plumbing"/>
    <d v="2023-01-30T00:00:00"/>
    <n v="173"/>
    <s v="91+ days"/>
    <n v="800"/>
    <n v="800"/>
  </r>
  <r>
    <x v="4"/>
    <d v="2023-01-30T00:00:00"/>
    <s v="Bill"/>
    <n v="685230"/>
    <s v="L&amp;S Mechanical - Plumbing"/>
    <d v="2023-01-30T00:00:00"/>
    <n v="173"/>
    <s v="91+ days"/>
    <n v="800"/>
    <n v="800"/>
  </r>
  <r>
    <x v="4"/>
    <d v="2022-09-01T00:00:00"/>
    <s v="Bill"/>
    <n v="7253"/>
    <s v="AME Trash Removal"/>
    <d v="2023-02-09T00:00:00"/>
    <n v="163"/>
    <s v="91+ days"/>
    <n v="499"/>
    <n v="499"/>
  </r>
  <r>
    <x v="4"/>
    <d v="2022-09-30T00:00:00"/>
    <s v="Bill"/>
    <n v="7254"/>
    <s v="AME Trash Removal"/>
    <d v="2023-02-09T00:00:00"/>
    <n v="163"/>
    <s v="91+ days"/>
    <n v="598.65"/>
    <n v="598.65"/>
  </r>
  <r>
    <x v="4"/>
    <d v="2022-09-30T00:00:00"/>
    <s v="Bill"/>
    <n v="7255"/>
    <s v="AME Trash Removal"/>
    <d v="2023-02-09T00:00:00"/>
    <n v="163"/>
    <s v="91+ days"/>
    <n v="348.65"/>
    <n v="348.65"/>
  </r>
  <r>
    <x v="4"/>
    <d v="2022-10-12T00:00:00"/>
    <s v="Bill"/>
    <n v="7256"/>
    <s v="AME Trash Removal"/>
    <d v="2023-02-09T00:00:00"/>
    <n v="163"/>
    <s v="91+ days"/>
    <n v="1395.6"/>
    <n v="1395.6"/>
  </r>
  <r>
    <x v="4"/>
    <d v="2023-01-11T00:00:00"/>
    <s v="Bill"/>
    <n v="3156"/>
    <s v="Texas Select Erosion"/>
    <d v="2023-02-10T00:00:00"/>
    <n v="162"/>
    <s v="91+ days"/>
    <n v="450"/>
    <n v="450"/>
  </r>
  <r>
    <x v="4"/>
    <d v="2023-02-01T00:00:00"/>
    <s v="Bill"/>
    <n v="26384"/>
    <s v="BAKER CLEARVIEW OPERATING, LLC"/>
    <d v="2023-02-16T00:00:00"/>
    <n v="156"/>
    <s v="91+ days"/>
    <n v="300"/>
    <n v="300"/>
  </r>
  <r>
    <x v="4"/>
    <d v="2023-01-19T00:00:00"/>
    <s v="Bill"/>
    <n v="9212"/>
    <s v="VIRTUAL PROTECTIVE"/>
    <d v="2023-02-18T00:00:00"/>
    <n v="154"/>
    <s v="91+ days"/>
    <n v="2273.25"/>
    <n v="2273.25"/>
  </r>
  <r>
    <x v="4"/>
    <d v="2023-02-24T00:00:00"/>
    <s v="Bill"/>
    <s v="IN254006"/>
    <s v="Fashion Glass &amp; Mirror"/>
    <d v="2023-02-24T00:00:00"/>
    <n v="148"/>
    <s v="91+ days"/>
    <n v="3521.33"/>
    <n v="3521.33"/>
  </r>
  <r>
    <x v="4"/>
    <d v="2023-02-24T00:00:00"/>
    <s v="Bill"/>
    <s v="IN254128"/>
    <s v="Fashion Glass &amp; Mirror"/>
    <d v="2023-02-24T00:00:00"/>
    <n v="148"/>
    <s v="91+ days"/>
    <n v="3516.87"/>
    <n v="3516.87"/>
  </r>
  <r>
    <x v="4"/>
    <d v="2023-02-28T00:00:00"/>
    <s v="Bill"/>
    <n v="43990"/>
    <s v="Stormcon LLC"/>
    <d v="2023-02-28T00:00:00"/>
    <n v="144"/>
    <s v="91+ days"/>
    <n v="300"/>
    <n v="300"/>
  </r>
  <r>
    <x v="4"/>
    <d v="2023-02-24T00:00:00"/>
    <s v="Bill"/>
    <s v="INV-MP4596"/>
    <s v="Masterplan"/>
    <d v="2023-03-11T00:00:00"/>
    <n v="133"/>
    <s v="91+ days"/>
    <n v="2330"/>
    <n v="2330"/>
  </r>
  <r>
    <x v="4"/>
    <d v="2023-03-14T00:00:00"/>
    <s v="Bill"/>
    <n v="69977889"/>
    <s v="Williams Insulation"/>
    <d v="2023-03-14T00:00:00"/>
    <n v="130"/>
    <s v="91+ days"/>
    <n v="175"/>
    <n v="175"/>
  </r>
  <r>
    <x v="4"/>
    <d v="2023-03-15T00:00:00"/>
    <s v="Bill"/>
    <n v="694518"/>
    <s v="L&amp;S Mechanical - Plumbing"/>
    <d v="2023-03-15T00:00:00"/>
    <n v="129"/>
    <s v="91+ days"/>
    <n v="1250"/>
    <n v="1250"/>
  </r>
  <r>
    <x v="4"/>
    <d v="2023-03-01T00:00:00"/>
    <s v="Bill"/>
    <n v="26505"/>
    <s v="BAKER CLEARVIEW OPERATING, LLC"/>
    <d v="2023-03-16T00:00:00"/>
    <n v="128"/>
    <s v="91+ days"/>
    <n v="300"/>
    <n v="300"/>
  </r>
  <r>
    <x v="4"/>
    <d v="2023-03-22T00:00:00"/>
    <s v="Bill"/>
    <n v="92576"/>
    <s v="L&amp;S Mechanical - Electric"/>
    <d v="2023-03-22T00:00:00"/>
    <n v="122"/>
    <s v="91+ days"/>
    <n v="625"/>
    <n v="625"/>
  </r>
  <r>
    <x v="4"/>
    <d v="2023-03-08T00:00:00"/>
    <s v="Bill"/>
    <s v="INV-MP4691"/>
    <s v="Masterplan"/>
    <d v="2023-03-23T00:00:00"/>
    <n v="121"/>
    <s v="91+ days"/>
    <n v="2150"/>
    <n v="2150"/>
  </r>
  <r>
    <x v="4"/>
    <d v="2023-03-29T00:00:00"/>
    <s v="Bill"/>
    <n v="70144506"/>
    <s v="Williams Insulation"/>
    <d v="2023-03-29T00:00:00"/>
    <n v="115"/>
    <s v="91+ days"/>
    <n v="737.81"/>
    <n v="737.81"/>
  </r>
  <r>
    <x v="4"/>
    <d v="2023-03-29T00:00:00"/>
    <s v="Bill"/>
    <n v="70144508"/>
    <s v="Williams Insulation"/>
    <d v="2023-03-29T00:00:00"/>
    <n v="115"/>
    <s v="91+ days"/>
    <n v="737.81"/>
    <n v="737.81"/>
  </r>
  <r>
    <x v="4"/>
    <d v="2023-03-29T00:00:00"/>
    <s v="Bill"/>
    <n v="70144504"/>
    <s v="Williams Insulation"/>
    <d v="2023-03-29T00:00:00"/>
    <n v="115"/>
    <s v="91+ days"/>
    <n v="732.01"/>
    <n v="732.01"/>
  </r>
  <r>
    <x v="4"/>
    <d v="2023-03-29T00:00:00"/>
    <s v="Bill"/>
    <n v="70144510"/>
    <s v="Williams Insulation"/>
    <d v="2023-03-29T00:00:00"/>
    <n v="115"/>
    <s v="91+ days"/>
    <n v="732.01"/>
    <n v="732.01"/>
  </r>
  <r>
    <x v="4"/>
    <d v="2023-03-29T00:00:00"/>
    <s v="Bill"/>
    <n v="70144512"/>
    <s v="Williams Insulation"/>
    <d v="2023-03-29T00:00:00"/>
    <n v="115"/>
    <s v="91+ days"/>
    <n v="732.01"/>
    <n v="732.01"/>
  </r>
  <r>
    <x v="4"/>
    <d v="2023-03-29T00:00:00"/>
    <s v="Bill"/>
    <n v="70144514"/>
    <s v="Williams Insulation"/>
    <d v="2023-03-29T00:00:00"/>
    <n v="115"/>
    <s v="91+ days"/>
    <n v="732.01"/>
    <n v="732.01"/>
  </r>
  <r>
    <x v="4"/>
    <d v="2023-02-28T00:00:00"/>
    <s v="Bill"/>
    <n v="13821"/>
    <s v="CMAC Roofing LLC"/>
    <d v="2023-03-30T00:00:00"/>
    <n v="114"/>
    <s v="91+ days"/>
    <n v="225"/>
    <n v="225"/>
  </r>
  <r>
    <x v="4"/>
    <d v="2023-03-31T00:00:00"/>
    <s v="Bill"/>
    <s v="AC899751"/>
    <s v="Roome Land Surveying"/>
    <d v="2023-03-31T00:00:00"/>
    <n v="113"/>
    <s v="91+ days"/>
    <n v="500"/>
    <n v="500"/>
  </r>
  <r>
    <x v="4"/>
    <d v="2023-03-31T00:00:00"/>
    <s v="Bill"/>
    <s v="AC899752"/>
    <s v="Roome Land Surveying"/>
    <d v="2023-03-31T00:00:00"/>
    <n v="113"/>
    <s v="91+ days"/>
    <n v="500"/>
    <n v="500"/>
  </r>
  <r>
    <x v="4"/>
    <d v="2023-03-31T00:00:00"/>
    <s v="Bill"/>
    <s v="AC899753"/>
    <s v="Roome Land Surveying"/>
    <d v="2023-03-31T00:00:00"/>
    <n v="113"/>
    <s v="91+ days"/>
    <n v="500"/>
    <n v="500"/>
  </r>
  <r>
    <x v="4"/>
    <d v="2023-03-31T00:00:00"/>
    <s v="Bill"/>
    <s v="AC899754"/>
    <s v="Roome Land Surveying"/>
    <d v="2023-03-31T00:00:00"/>
    <n v="113"/>
    <s v="91+ days"/>
    <n v="500"/>
    <n v="500"/>
  </r>
  <r>
    <x v="4"/>
    <d v="2023-04-07T00:00:00"/>
    <s v="Bill"/>
    <n v="1019"/>
    <s v="Aurora Painting LLC"/>
    <d v="2023-04-07T00:00:00"/>
    <n v="106"/>
    <s v="91+ days"/>
    <n v="636.75"/>
    <n v="636.75"/>
  </r>
  <r>
    <x v="4"/>
    <d v="2023-04-05T00:00:00"/>
    <s v="Bill"/>
    <n v="1025"/>
    <s v="Wonder Brothers"/>
    <d v="2023-04-08T00:00:00"/>
    <n v="105"/>
    <s v="91+ days"/>
    <n v="7630"/>
    <n v="7630"/>
  </r>
  <r>
    <x v="4"/>
    <d v="2023-04-01T00:00:00"/>
    <s v="Bill"/>
    <n v="26631"/>
    <s v="BAKER CLEARVIEW OPERATING, LLC"/>
    <d v="2023-04-16T00:00:00"/>
    <n v="97"/>
    <s v="91+ days"/>
    <n v="300"/>
    <n v="300"/>
  </r>
  <r>
    <x v="4"/>
    <d v="2023-03-29T00:00:00"/>
    <s v="Bill"/>
    <n v="3314"/>
    <s v="Texas Select Erosion"/>
    <d v="2023-04-28T00:00:00"/>
    <n v="85"/>
    <s v="61-90 days"/>
    <n v="490"/>
    <n v="490"/>
  </r>
  <r>
    <x v="4"/>
    <d v="2023-03-31T00:00:00"/>
    <s v="Bill"/>
    <n v="1698915"/>
    <s v="FCC Environmental Service TX"/>
    <d v="2023-04-30T00:00:00"/>
    <n v="83"/>
    <s v="61-90 days"/>
    <n v="186.84"/>
    <n v="186.84"/>
  </r>
  <r>
    <x v="4"/>
    <d v="2023-04-20T00:00:00"/>
    <s v="Bill"/>
    <s v="INV-MP5041"/>
    <s v="Masterplan"/>
    <d v="2023-05-05T00:00:00"/>
    <n v="78"/>
    <s v="61-90 days"/>
    <n v="2897.5"/>
    <n v="2897.5"/>
  </r>
  <r>
    <x v="4"/>
    <d v="2023-05-18T00:00:00"/>
    <s v="Journal Entry"/>
    <s v="To WonderBro from8830"/>
    <s v="Wonder Brothers"/>
    <d v="2023-05-18T00:00:00"/>
    <n v="65"/>
    <s v="61-90 days"/>
    <n v="-4000"/>
    <n v="-4000"/>
  </r>
  <r>
    <x v="4"/>
    <d v="2023-04-27T00:00:00"/>
    <s v="Bill"/>
    <n v="44964"/>
    <s v="Stormcon LLC"/>
    <d v="2023-05-27T00:00:00"/>
    <n v="56"/>
    <s v="31-60 days"/>
    <n v="300"/>
    <n v="300"/>
  </r>
  <r>
    <x v="4"/>
    <d v="2023-04-28T00:00:00"/>
    <s v="Bill"/>
    <n v="9335"/>
    <s v="VIRTUAL PROTECTIVE"/>
    <d v="2023-05-28T00:00:00"/>
    <n v="55"/>
    <s v="31-60 days"/>
    <n v="2273.25"/>
    <n v="2273.25"/>
  </r>
  <r>
    <x v="4"/>
    <d v="2023-04-30T00:00:00"/>
    <s v="Bill"/>
    <n v="1701880"/>
    <s v="FCC Environmental Service TX"/>
    <d v="2023-05-30T00:00:00"/>
    <n v="53"/>
    <s v="31-60 days"/>
    <n v="186.84"/>
    <n v="186.84"/>
  </r>
  <r>
    <x v="4"/>
    <d v="2023-05-31T00:00:00"/>
    <s v="Bill"/>
    <n v="1705945"/>
    <s v="PREMIER Waste Services, LLC"/>
    <d v="2023-05-31T00:00:00"/>
    <n v="52"/>
    <s v="31-60 days"/>
    <n v="186.84"/>
    <n v="186.84"/>
  </r>
  <r>
    <x v="4"/>
    <d v="2023-06-02T00:00:00"/>
    <s v="Bill"/>
    <n v="1031"/>
    <s v="Wonder Brothers"/>
    <d v="2023-06-02T00:00:00"/>
    <n v="50"/>
    <s v="31-60 days"/>
    <n v="4530"/>
    <n v="4530"/>
  </r>
  <r>
    <x v="4"/>
    <d v="2023-05-22T00:00:00"/>
    <s v="Bill"/>
    <s v="INV-MP5271"/>
    <s v="Masterplan"/>
    <d v="2023-06-06T00:00:00"/>
    <n v="46"/>
    <s v="31-60 days"/>
    <n v="1975"/>
    <n v="1975"/>
  </r>
  <r>
    <x v="4"/>
    <d v="2023-06-07T00:00:00"/>
    <s v="Bill"/>
    <s v="INV0156"/>
    <s v="MNV CONSTRUCTION AND REMODELING LLC"/>
    <d v="2023-06-07T00:00:00"/>
    <n v="45"/>
    <s v="31-60 days"/>
    <n v="4825"/>
    <n v="4825"/>
  </r>
  <r>
    <x v="4"/>
    <d v="2023-06-30T00:00:00"/>
    <s v="Bill"/>
    <s v="INV-MP5566"/>
    <s v="Masterplan"/>
    <d v="2023-06-30T00:00:00"/>
    <n v="22"/>
    <s v="1-30 days"/>
    <n v="1861.25"/>
    <n v="1861.25"/>
  </r>
  <r>
    <x v="4"/>
    <d v="2023-06-30T00:00:00"/>
    <s v="Bill"/>
    <n v="1709351"/>
    <s v="FCC Environmental Service TX"/>
    <d v="2023-07-30T00:00:00"/>
    <n v="-8"/>
    <s v="Current"/>
    <n v="186.84"/>
    <n v="186.84"/>
  </r>
  <r>
    <x v="4"/>
    <d v="2022-08-02T00:00:00"/>
    <s v="Vendor Credit"/>
    <n v="4078"/>
    <s v="Oldham Lumber Company"/>
    <m/>
    <n v="0"/>
    <s v="Current"/>
    <n v="-15276.24"/>
    <n v="-15276.24"/>
  </r>
  <r>
    <x v="5"/>
    <m/>
    <m/>
    <m/>
    <m/>
    <m/>
    <m/>
    <m/>
    <m/>
    <m/>
  </r>
  <r>
    <x v="6"/>
    <m/>
    <m/>
    <m/>
    <m/>
    <m/>
    <m/>
    <m/>
    <n v="2579175.1099999971"/>
    <n v="2539527.919999997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61">
  <r>
    <x v="0"/>
    <d v="2022-06-30T00:00:00"/>
    <s v="Bill"/>
    <n v="7488"/>
    <x v="0"/>
    <d v="2022-06-30T00:00:00"/>
    <n v="387"/>
    <x v="0"/>
    <n v="1000"/>
    <n v="1000"/>
  </r>
  <r>
    <x v="0"/>
    <d v="2022-09-01T00:00:00"/>
    <s v="Bill"/>
    <n v="25779"/>
    <x v="1"/>
    <d v="2022-09-16T00:00:00"/>
    <n v="309"/>
    <x v="0"/>
    <n v="300"/>
    <n v="300"/>
  </r>
  <r>
    <x v="0"/>
    <d v="2022-10-10T00:00:00"/>
    <s v="Bill"/>
    <n v="221013"/>
    <x v="2"/>
    <d v="2022-10-10T00:00:00"/>
    <n v="285"/>
    <x v="0"/>
    <n v="1411"/>
    <n v="1411"/>
  </r>
  <r>
    <x v="0"/>
    <d v="2022-10-10T00:00:00"/>
    <s v="Bill"/>
    <n v="221017"/>
    <x v="2"/>
    <d v="2022-10-10T00:00:00"/>
    <n v="285"/>
    <x v="0"/>
    <n v="1000"/>
    <n v="1000"/>
  </r>
  <r>
    <x v="0"/>
    <d v="2022-10-17T00:00:00"/>
    <s v="Bill"/>
    <s v="0070968819-IN"/>
    <x v="3"/>
    <d v="2022-10-17T00:00:00"/>
    <n v="278"/>
    <x v="0"/>
    <n v="10723.96"/>
    <n v="10723.96"/>
  </r>
  <r>
    <x v="0"/>
    <d v="2022-10-17T00:00:00"/>
    <s v="Bill"/>
    <s v="0070968625-IN"/>
    <x v="3"/>
    <d v="2022-10-17T00:00:00"/>
    <n v="278"/>
    <x v="0"/>
    <n v="1599"/>
    <n v="1599"/>
  </r>
  <r>
    <x v="0"/>
    <d v="2022-10-17T00:00:00"/>
    <s v="Bill"/>
    <s v="0070968624-IN"/>
    <x v="3"/>
    <d v="2022-10-17T00:00:00"/>
    <n v="278"/>
    <x v="0"/>
    <n v="533"/>
    <n v="533"/>
  </r>
  <r>
    <x v="0"/>
    <d v="2022-11-15T00:00:00"/>
    <s v="Bill"/>
    <s v="0070985682-IN"/>
    <x v="3"/>
    <d v="2022-11-15T00:00:00"/>
    <n v="249"/>
    <x v="0"/>
    <n v="6118.84"/>
    <n v="6118.84"/>
  </r>
  <r>
    <x v="0"/>
    <d v="2022-11-15T00:00:00"/>
    <s v="Bill"/>
    <s v="0070985329-IN"/>
    <x v="3"/>
    <d v="2022-11-15T00:00:00"/>
    <n v="249"/>
    <x v="0"/>
    <n v="932.75"/>
    <n v="932.75"/>
  </r>
  <r>
    <x v="0"/>
    <d v="2022-11-15T00:00:00"/>
    <s v="Bill"/>
    <s v="0070985328-IN"/>
    <x v="3"/>
    <d v="2022-11-15T00:00:00"/>
    <n v="249"/>
    <x v="0"/>
    <n v="799.5"/>
    <n v="799.5"/>
  </r>
  <r>
    <x v="0"/>
    <d v="2022-11-01T00:00:00"/>
    <s v="Bill"/>
    <n v="26039"/>
    <x v="1"/>
    <d v="2022-11-16T00:00:00"/>
    <n v="248"/>
    <x v="0"/>
    <n v="300"/>
    <n v="300"/>
  </r>
  <r>
    <x v="0"/>
    <d v="2022-12-15T00:00:00"/>
    <s v="Bill"/>
    <s v="0071002271-IN"/>
    <x v="3"/>
    <d v="2022-12-15T00:00:00"/>
    <n v="219"/>
    <x v="0"/>
    <n v="6118.84"/>
    <n v="6118.84"/>
  </r>
  <r>
    <x v="0"/>
    <d v="2022-12-15T00:00:00"/>
    <s v="Bill"/>
    <s v="0071002686-IN"/>
    <x v="3"/>
    <d v="2022-12-15T00:00:00"/>
    <n v="219"/>
    <x v="0"/>
    <n v="932.75"/>
    <n v="932.75"/>
  </r>
  <r>
    <x v="0"/>
    <d v="2023-01-15T00:00:00"/>
    <s v="Bill"/>
    <s v="0071019491-IN"/>
    <x v="3"/>
    <d v="2023-01-15T00:00:00"/>
    <n v="188"/>
    <x v="0"/>
    <n v="6118.84"/>
    <n v="6118.84"/>
  </r>
  <r>
    <x v="0"/>
    <d v="2023-02-15T00:00:00"/>
    <s v="Bill"/>
    <n v="71021740"/>
    <x v="3"/>
    <d v="2023-02-15T00:00:00"/>
    <n v="157"/>
    <x v="0"/>
    <n v="6118.84"/>
    <n v="6118.84"/>
  </r>
  <r>
    <x v="0"/>
    <d v="2023-03-15T00:00:00"/>
    <s v="Bill"/>
    <s v="0071039015-IN"/>
    <x v="3"/>
    <d v="2023-03-15T00:00:00"/>
    <n v="129"/>
    <x v="0"/>
    <n v="6118.84"/>
    <n v="6118.84"/>
  </r>
  <r>
    <x v="0"/>
    <d v="2023-03-01T00:00:00"/>
    <s v="Bill"/>
    <n v="26505"/>
    <x v="1"/>
    <d v="2023-03-16T00:00:00"/>
    <n v="128"/>
    <x v="0"/>
    <n v="300"/>
    <n v="300"/>
  </r>
  <r>
    <x v="0"/>
    <d v="2023-04-14T00:00:00"/>
    <s v="Bill"/>
    <s v="0071056471-IN"/>
    <x v="3"/>
    <d v="2023-04-14T00:00:00"/>
    <n v="99"/>
    <x v="0"/>
    <n v="6118.84"/>
    <n v="6118.84"/>
  </r>
  <r>
    <x v="0"/>
    <d v="2023-05-15T00:00:00"/>
    <s v="Bill"/>
    <s v="0071074028-IN"/>
    <x v="3"/>
    <d v="2023-05-15T00:00:00"/>
    <n v="68"/>
    <x v="1"/>
    <n v="6118.84"/>
    <n v="6118.84"/>
  </r>
  <r>
    <x v="0"/>
    <d v="2023-06-15T00:00:00"/>
    <s v="Bill"/>
    <s v="0071091788-IN"/>
    <x v="3"/>
    <d v="2023-06-15T00:00:00"/>
    <n v="37"/>
    <x v="2"/>
    <n v="6118.84"/>
    <n v="6118.84"/>
  </r>
  <r>
    <x v="0"/>
    <d v="2023-07-14T00:00:00"/>
    <s v="Bill"/>
    <s v="0071110291-IN"/>
    <x v="3"/>
    <d v="2023-07-14T00:00:00"/>
    <n v="8"/>
    <x v="3"/>
    <n v="6302.41"/>
    <n v="6302.41"/>
  </r>
  <r>
    <x v="1"/>
    <d v="2021-12-31T00:00:00"/>
    <s v="Bill"/>
    <s v="DC21599-3871"/>
    <x v="4"/>
    <d v="2021-12-31T00:00:00"/>
    <n v="568"/>
    <x v="0"/>
    <n v="2172"/>
    <n v="2172"/>
  </r>
  <r>
    <x v="1"/>
    <d v="2022-01-31T00:00:00"/>
    <s v="Bill"/>
    <s v="DC21599-0309"/>
    <x v="4"/>
    <d v="2022-01-31T00:00:00"/>
    <n v="537"/>
    <x v="0"/>
    <n v="2381.5"/>
    <n v="2381.5"/>
  </r>
  <r>
    <x v="1"/>
    <d v="2022-02-28T00:00:00"/>
    <s v="Bill"/>
    <s v="DC21599-0536"/>
    <x v="4"/>
    <d v="2022-02-28T00:00:00"/>
    <n v="509"/>
    <x v="0"/>
    <n v="414"/>
    <n v="414"/>
  </r>
  <r>
    <x v="1"/>
    <d v="2022-03-31T00:00:00"/>
    <s v="Bill"/>
    <s v="DC21599-0849"/>
    <x v="4"/>
    <d v="2022-03-31T00:00:00"/>
    <n v="478"/>
    <x v="0"/>
    <n v="6668"/>
    <n v="6668"/>
  </r>
  <r>
    <x v="1"/>
    <d v="2022-04-20T00:00:00"/>
    <s v="Bill"/>
    <n v="3456"/>
    <x v="5"/>
    <d v="2022-04-20T00:00:00"/>
    <n v="458"/>
    <x v="0"/>
    <n v="1662.75"/>
    <n v="1662.75"/>
  </r>
  <r>
    <x v="1"/>
    <d v="2022-03-31T00:00:00"/>
    <s v="Bill"/>
    <s v="2022-183"/>
    <x v="6"/>
    <d v="2022-04-30T00:00:00"/>
    <n v="448"/>
    <x v="0"/>
    <n v="2760.38"/>
    <n v="2760.38"/>
  </r>
  <r>
    <x v="1"/>
    <d v="2022-04-30T00:00:00"/>
    <s v="Bill"/>
    <s v="DC21599-1206"/>
    <x v="4"/>
    <d v="2022-04-30T00:00:00"/>
    <n v="448"/>
    <x v="0"/>
    <n v="5666"/>
    <n v="5666"/>
  </r>
  <r>
    <x v="1"/>
    <d v="2022-05-05T00:00:00"/>
    <s v="Bill"/>
    <n v="3499"/>
    <x v="5"/>
    <d v="2022-05-05T00:00:00"/>
    <n v="443"/>
    <x v="0"/>
    <n v="700"/>
    <n v="700"/>
  </r>
  <r>
    <x v="1"/>
    <d v="2022-05-02T00:00:00"/>
    <s v="Bill"/>
    <s v="2022-246"/>
    <x v="6"/>
    <d v="2022-06-01T00:00:00"/>
    <n v="416"/>
    <x v="0"/>
    <n v="4240"/>
    <n v="4240"/>
  </r>
  <r>
    <x v="1"/>
    <d v="2022-05-27T00:00:00"/>
    <s v="Bill"/>
    <s v="INV014592"/>
    <x v="7"/>
    <d v="2022-06-26T00:00:00"/>
    <n v="391"/>
    <x v="0"/>
    <n v="280"/>
    <n v="280"/>
  </r>
  <r>
    <x v="1"/>
    <d v="2022-06-02T00:00:00"/>
    <s v="Bill"/>
    <n v="17304"/>
    <x v="8"/>
    <d v="2022-06-30T00:00:00"/>
    <n v="387"/>
    <x v="0"/>
    <n v="4250"/>
    <n v="4250"/>
  </r>
  <r>
    <x v="1"/>
    <d v="2022-06-30T00:00:00"/>
    <s v="Bill"/>
    <s v="DC21599-1773"/>
    <x v="4"/>
    <d v="2022-06-30T00:00:00"/>
    <n v="387"/>
    <x v="0"/>
    <n v="5959.5"/>
    <n v="5959.5"/>
  </r>
  <r>
    <x v="1"/>
    <d v="2022-07-13T00:00:00"/>
    <s v="Bill"/>
    <s v="AC894882"/>
    <x v="9"/>
    <d v="2022-07-13T00:00:00"/>
    <n v="374"/>
    <x v="0"/>
    <n v="450"/>
    <n v="450"/>
  </r>
  <r>
    <x v="1"/>
    <d v="2022-06-27T00:00:00"/>
    <s v="Bill"/>
    <s v="INV016216"/>
    <x v="7"/>
    <d v="2022-07-27T00:00:00"/>
    <n v="360"/>
    <x v="0"/>
    <n v="280"/>
    <n v="280"/>
  </r>
  <r>
    <x v="1"/>
    <d v="2022-07-28T00:00:00"/>
    <s v="Bill"/>
    <n v="81846"/>
    <x v="10"/>
    <d v="2022-08-07T00:00:00"/>
    <n v="349"/>
    <x v="0"/>
    <n v="53611.56"/>
    <n v="53611.56"/>
  </r>
  <r>
    <x v="1"/>
    <d v="2022-07-29T00:00:00"/>
    <s v="Bill"/>
    <n v="82006"/>
    <x v="10"/>
    <d v="2022-08-08T00:00:00"/>
    <n v="348"/>
    <x v="0"/>
    <n v="42166.11"/>
    <n v="42166.11"/>
  </r>
  <r>
    <x v="1"/>
    <d v="2022-07-29T00:00:00"/>
    <s v="Bill"/>
    <n v="82076"/>
    <x v="10"/>
    <d v="2022-08-08T00:00:00"/>
    <n v="348"/>
    <x v="0"/>
    <n v="38578.480000000003"/>
    <n v="38578.480000000003"/>
  </r>
  <r>
    <x v="1"/>
    <d v="2022-07-29T00:00:00"/>
    <s v="Bill"/>
    <n v="82170"/>
    <x v="10"/>
    <d v="2022-08-08T00:00:00"/>
    <n v="348"/>
    <x v="0"/>
    <n v="15873.78"/>
    <n v="15873.78"/>
  </r>
  <r>
    <x v="1"/>
    <d v="2022-07-14T00:00:00"/>
    <s v="Bill"/>
    <n v="22059"/>
    <x v="11"/>
    <d v="2022-08-13T00:00:00"/>
    <n v="343"/>
    <x v="0"/>
    <n v="55"/>
    <n v="55"/>
  </r>
  <r>
    <x v="1"/>
    <d v="2022-08-17T00:00:00"/>
    <s v="Bill"/>
    <n v="918"/>
    <x v="12"/>
    <d v="2022-08-17T00:00:00"/>
    <n v="339"/>
    <x v="0"/>
    <n v="3500"/>
    <n v="3500"/>
  </r>
  <r>
    <x v="1"/>
    <d v="2022-08-11T00:00:00"/>
    <s v="Bill"/>
    <n v="83434"/>
    <x v="10"/>
    <d v="2022-08-21T00:00:00"/>
    <n v="335"/>
    <x v="0"/>
    <n v="583"/>
    <n v="583"/>
  </r>
  <r>
    <x v="1"/>
    <d v="2022-07-27T00:00:00"/>
    <s v="Bill"/>
    <s v="INV017642"/>
    <x v="7"/>
    <d v="2022-08-26T00:00:00"/>
    <n v="330"/>
    <x v="0"/>
    <n v="280"/>
    <n v="280"/>
  </r>
  <r>
    <x v="1"/>
    <d v="2022-08-18T00:00:00"/>
    <s v="Bill"/>
    <n v="84256"/>
    <x v="10"/>
    <d v="2022-08-28T00:00:00"/>
    <n v="328"/>
    <x v="0"/>
    <n v="57210.13"/>
    <n v="57210.13"/>
  </r>
  <r>
    <x v="1"/>
    <d v="2022-08-28T00:00:00"/>
    <s v="Bill"/>
    <n v="220801"/>
    <x v="2"/>
    <d v="2022-08-28T00:00:00"/>
    <n v="328"/>
    <x v="0"/>
    <n v="1125"/>
    <n v="1125"/>
  </r>
  <r>
    <x v="1"/>
    <d v="2022-08-20T00:00:00"/>
    <s v="Bill"/>
    <n v="84496"/>
    <x v="10"/>
    <d v="2022-08-30T00:00:00"/>
    <n v="326"/>
    <x v="0"/>
    <n v="9118.98"/>
    <n v="9118.98"/>
  </r>
  <r>
    <x v="1"/>
    <d v="2022-08-17T00:00:00"/>
    <s v="Bill"/>
    <s v="INAF10023935"/>
    <x v="13"/>
    <d v="2022-09-01T00:00:00"/>
    <n v="324"/>
    <x v="0"/>
    <n v="12825"/>
    <n v="12825"/>
  </r>
  <r>
    <x v="1"/>
    <d v="2022-08-22T00:00:00"/>
    <s v="Bill"/>
    <n v="84586"/>
    <x v="10"/>
    <d v="2022-09-01T00:00:00"/>
    <n v="324"/>
    <x v="0"/>
    <n v="276.25"/>
    <n v="276.25"/>
  </r>
  <r>
    <x v="1"/>
    <d v="2022-08-25T00:00:00"/>
    <s v="Bill"/>
    <n v="85056"/>
    <x v="10"/>
    <d v="2022-09-04T00:00:00"/>
    <n v="321"/>
    <x v="0"/>
    <n v="52990.54"/>
    <n v="52990.54"/>
  </r>
  <r>
    <x v="1"/>
    <d v="2022-08-26T00:00:00"/>
    <s v="Bill"/>
    <n v="85247"/>
    <x v="10"/>
    <d v="2022-09-05T00:00:00"/>
    <n v="320"/>
    <x v="0"/>
    <n v="4222.57"/>
    <n v="4222.57"/>
  </r>
  <r>
    <x v="1"/>
    <d v="2022-08-30T00:00:00"/>
    <s v="Bill"/>
    <n v="85658"/>
    <x v="10"/>
    <d v="2022-09-09T00:00:00"/>
    <n v="316"/>
    <x v="0"/>
    <n v="6106.85"/>
    <n v="6106.85"/>
  </r>
  <r>
    <x v="1"/>
    <d v="2022-09-18T00:00:00"/>
    <s v="Bill"/>
    <n v="620697"/>
    <x v="14"/>
    <d v="2022-09-18T00:00:00"/>
    <n v="307"/>
    <x v="0"/>
    <n v="500"/>
    <n v="500"/>
  </r>
  <r>
    <x v="1"/>
    <d v="2022-09-10T00:00:00"/>
    <s v="Bill"/>
    <n v="87022"/>
    <x v="10"/>
    <d v="2022-09-20T00:00:00"/>
    <n v="305"/>
    <x v="0"/>
    <n v="9327.7999999999993"/>
    <n v="9327.7999999999993"/>
  </r>
  <r>
    <x v="1"/>
    <d v="2022-08-27T00:00:00"/>
    <s v="Bill"/>
    <s v="INV019935"/>
    <x v="7"/>
    <d v="2022-09-26T00:00:00"/>
    <n v="299"/>
    <x v="0"/>
    <n v="280"/>
    <n v="280"/>
  </r>
  <r>
    <x v="1"/>
    <d v="2022-09-19T00:00:00"/>
    <s v="Bill"/>
    <n v="88108"/>
    <x v="10"/>
    <d v="2022-09-29T00:00:00"/>
    <n v="296"/>
    <x v="0"/>
    <n v="2133.8200000000002"/>
    <n v="2133.8200000000002"/>
  </r>
  <r>
    <x v="1"/>
    <d v="2022-09-30T00:00:00"/>
    <s v="Bill"/>
    <s v="AC898030"/>
    <x v="9"/>
    <d v="2022-09-30T00:00:00"/>
    <n v="295"/>
    <x v="0"/>
    <n v="350"/>
    <n v="350"/>
  </r>
  <r>
    <x v="1"/>
    <d v="2022-09-30T00:00:00"/>
    <s v="Bill"/>
    <n v="90102"/>
    <x v="10"/>
    <d v="2022-10-10T00:00:00"/>
    <n v="285"/>
    <x v="0"/>
    <n v="25330.5"/>
    <n v="25330.5"/>
  </r>
  <r>
    <x v="1"/>
    <d v="2022-09-30T00:00:00"/>
    <s v="Bill"/>
    <n v="90003"/>
    <x v="10"/>
    <d v="2022-10-10T00:00:00"/>
    <n v="285"/>
    <x v="0"/>
    <n v="667.54"/>
    <n v="667.54"/>
  </r>
  <r>
    <x v="1"/>
    <d v="2022-10-10T00:00:00"/>
    <s v="Bill"/>
    <n v="221002"/>
    <x v="2"/>
    <d v="2022-10-10T00:00:00"/>
    <n v="285"/>
    <x v="0"/>
    <n v="1575"/>
    <n v="1575"/>
  </r>
  <r>
    <x v="1"/>
    <d v="2022-09-11T00:00:00"/>
    <s v="Bill"/>
    <s v="INV000152009"/>
    <x v="15"/>
    <d v="2022-10-11T00:00:00"/>
    <n v="284"/>
    <x v="0"/>
    <n v="9856.7999999999993"/>
    <n v="9856.7999999999993"/>
  </r>
  <r>
    <x v="1"/>
    <d v="2022-09-11T00:00:00"/>
    <s v="Bill"/>
    <s v="INV000152008"/>
    <x v="15"/>
    <d v="2022-10-11T00:00:00"/>
    <n v="284"/>
    <x v="0"/>
    <n v="8790.4"/>
    <n v="4420.3999999999996"/>
  </r>
  <r>
    <x v="1"/>
    <d v="2022-09-11T00:00:00"/>
    <s v="Bill"/>
    <s v="INV000152010"/>
    <x v="15"/>
    <d v="2022-10-11T00:00:00"/>
    <n v="284"/>
    <x v="0"/>
    <n v="8656"/>
    <n v="8656"/>
  </r>
  <r>
    <x v="1"/>
    <d v="2022-10-12T00:00:00"/>
    <s v="Bill"/>
    <n v="4318"/>
    <x v="5"/>
    <d v="2022-10-12T00:00:00"/>
    <n v="283"/>
    <x v="0"/>
    <n v="6017"/>
    <n v="6017"/>
  </r>
  <r>
    <x v="1"/>
    <d v="2022-09-14T00:00:00"/>
    <s v="Bill"/>
    <s v="INV020639"/>
    <x v="7"/>
    <d v="2022-10-14T00:00:00"/>
    <n v="281"/>
    <x v="0"/>
    <n v="75"/>
    <n v="75"/>
  </r>
  <r>
    <x v="1"/>
    <d v="2022-10-17T00:00:00"/>
    <s v="Bill"/>
    <s v="CR-22-202"/>
    <x v="16"/>
    <d v="2022-10-17T00:00:00"/>
    <n v="278"/>
    <x v="0"/>
    <n v="125"/>
    <n v="125"/>
  </r>
  <r>
    <x v="1"/>
    <d v="2022-10-20T00:00:00"/>
    <s v="Bill"/>
    <n v="105887"/>
    <x v="17"/>
    <d v="2022-10-20T00:00:00"/>
    <n v="275"/>
    <x v="0"/>
    <n v="300"/>
    <n v="300"/>
  </r>
  <r>
    <x v="1"/>
    <d v="2022-10-11T00:00:00"/>
    <s v="Bill"/>
    <n v="91137"/>
    <x v="10"/>
    <d v="2022-10-21T00:00:00"/>
    <n v="274"/>
    <x v="0"/>
    <n v="147.44"/>
    <n v="147.44"/>
  </r>
  <r>
    <x v="1"/>
    <d v="2022-10-26T00:00:00"/>
    <s v="Bill"/>
    <s v="INV000155644"/>
    <x v="15"/>
    <d v="2022-10-26T00:00:00"/>
    <n v="269"/>
    <x v="0"/>
    <n v="1551.25"/>
    <n v="1551.25"/>
  </r>
  <r>
    <x v="1"/>
    <d v="2022-09-27T00:00:00"/>
    <s v="Bill"/>
    <s v="INV021096"/>
    <x v="7"/>
    <d v="2022-10-27T00:00:00"/>
    <n v="268"/>
    <x v="0"/>
    <n v="280"/>
    <n v="280"/>
  </r>
  <r>
    <x v="1"/>
    <d v="2022-10-18T00:00:00"/>
    <s v="Bill"/>
    <n v="165229"/>
    <x v="18"/>
    <d v="2022-10-28T00:00:00"/>
    <n v="267"/>
    <x v="0"/>
    <n v="422.66"/>
    <n v="422.66"/>
  </r>
  <r>
    <x v="1"/>
    <d v="2022-09-30T00:00:00"/>
    <s v="Bill"/>
    <n v="17391"/>
    <x v="8"/>
    <d v="2022-10-30T00:00:00"/>
    <n v="265"/>
    <x v="0"/>
    <n v="3750"/>
    <n v="3750"/>
  </r>
  <r>
    <x v="1"/>
    <d v="2022-10-01T00:00:00"/>
    <s v="Bill"/>
    <n v="10935140"/>
    <x v="19"/>
    <d v="2022-10-31T00:00:00"/>
    <n v="264"/>
    <x v="0"/>
    <n v="162.38"/>
    <n v="162.38"/>
  </r>
  <r>
    <x v="1"/>
    <d v="2022-10-25T00:00:00"/>
    <s v="Bill"/>
    <n v="165470"/>
    <x v="18"/>
    <d v="2022-11-04T00:00:00"/>
    <n v="260"/>
    <x v="0"/>
    <n v="3675.51"/>
    <n v="3675.51"/>
  </r>
  <r>
    <x v="1"/>
    <d v="2022-11-08T00:00:00"/>
    <s v="Bill"/>
    <n v="4421"/>
    <x v="5"/>
    <d v="2022-11-08T00:00:00"/>
    <n v="256"/>
    <x v="0"/>
    <n v="11435"/>
    <n v="11435"/>
  </r>
  <r>
    <x v="1"/>
    <d v="2022-10-12T00:00:00"/>
    <s v="Bill"/>
    <n v="2945"/>
    <x v="20"/>
    <d v="2022-11-11T00:00:00"/>
    <n v="253"/>
    <x v="0"/>
    <n v="150"/>
    <n v="150"/>
  </r>
  <r>
    <x v="1"/>
    <d v="2022-11-02T00:00:00"/>
    <s v="Bill"/>
    <n v="165639"/>
    <x v="18"/>
    <d v="2022-11-12T00:00:00"/>
    <n v="252"/>
    <x v="0"/>
    <n v="4252.8100000000004"/>
    <n v="4252.8100000000004"/>
  </r>
  <r>
    <x v="1"/>
    <d v="2022-11-02T00:00:00"/>
    <s v="Bill"/>
    <n v="165654"/>
    <x v="18"/>
    <d v="2022-11-12T00:00:00"/>
    <n v="252"/>
    <x v="0"/>
    <n v="632.17999999999995"/>
    <n v="632.17999999999995"/>
  </r>
  <r>
    <x v="1"/>
    <d v="2022-10-14T00:00:00"/>
    <s v="Bill"/>
    <n v="10939541"/>
    <x v="19"/>
    <d v="2022-11-13T00:00:00"/>
    <n v="251"/>
    <x v="0"/>
    <n v="363.45"/>
    <n v="363.45"/>
  </r>
  <r>
    <x v="1"/>
    <d v="2022-10-19T00:00:00"/>
    <s v="Bill"/>
    <n v="2958"/>
    <x v="20"/>
    <d v="2022-11-18T00:00:00"/>
    <n v="246"/>
    <x v="0"/>
    <n v="1300"/>
    <n v="1300"/>
  </r>
  <r>
    <x v="1"/>
    <d v="2022-11-11T00:00:00"/>
    <s v="Bill"/>
    <n v="17410"/>
    <x v="8"/>
    <d v="2022-11-21T00:00:00"/>
    <n v="243"/>
    <x v="0"/>
    <n v="1070"/>
    <n v="1070"/>
  </r>
  <r>
    <x v="1"/>
    <d v="2022-10-27T00:00:00"/>
    <s v="Bill"/>
    <s v="INV023223"/>
    <x v="7"/>
    <d v="2022-11-26T00:00:00"/>
    <n v="238"/>
    <x v="0"/>
    <n v="280"/>
    <n v="280"/>
  </r>
  <r>
    <x v="1"/>
    <d v="2022-11-01T00:00:00"/>
    <s v="Bill"/>
    <n v="10949631"/>
    <x v="19"/>
    <d v="2022-12-01T00:00:00"/>
    <n v="233"/>
    <x v="0"/>
    <n v="37.83"/>
    <n v="37.83"/>
  </r>
  <r>
    <x v="1"/>
    <d v="2022-11-02T00:00:00"/>
    <s v="Bill"/>
    <n v="2991"/>
    <x v="20"/>
    <d v="2022-12-02T00:00:00"/>
    <n v="232"/>
    <x v="0"/>
    <n v="2463"/>
    <n v="2463"/>
  </r>
  <r>
    <x v="1"/>
    <d v="2022-11-02T00:00:00"/>
    <s v="Bill"/>
    <n v="10949349"/>
    <x v="19"/>
    <d v="2022-12-02T00:00:00"/>
    <n v="232"/>
    <x v="0"/>
    <n v="119.01"/>
    <n v="119.01"/>
  </r>
  <r>
    <x v="1"/>
    <d v="2022-12-04T00:00:00"/>
    <s v="Bill"/>
    <n v="4501"/>
    <x v="5"/>
    <d v="2022-12-04T00:00:00"/>
    <n v="230"/>
    <x v="0"/>
    <n v="5449"/>
    <n v="5449"/>
  </r>
  <r>
    <x v="1"/>
    <d v="2022-11-22T00:00:00"/>
    <s v="Bill"/>
    <n v="59112"/>
    <x v="21"/>
    <d v="2022-12-07T00:00:00"/>
    <n v="227"/>
    <x v="0"/>
    <n v="96.13"/>
    <n v="96.13"/>
  </r>
  <r>
    <x v="1"/>
    <d v="2022-11-22T00:00:00"/>
    <s v="Bill"/>
    <n v="59204"/>
    <x v="21"/>
    <d v="2022-12-07T00:00:00"/>
    <n v="227"/>
    <x v="0"/>
    <n v="45.64"/>
    <n v="45.64"/>
  </r>
  <r>
    <x v="1"/>
    <d v="2022-11-09T00:00:00"/>
    <s v="Bill"/>
    <n v="3020"/>
    <x v="20"/>
    <d v="2022-12-09T00:00:00"/>
    <n v="225"/>
    <x v="0"/>
    <n v="789.5"/>
    <n v="789.5"/>
  </r>
  <r>
    <x v="1"/>
    <d v="2022-11-09T00:00:00"/>
    <s v="Bill"/>
    <s v="INV023980"/>
    <x v="7"/>
    <d v="2022-12-09T00:00:00"/>
    <n v="225"/>
    <x v="0"/>
    <n v="75"/>
    <n v="75"/>
  </r>
  <r>
    <x v="1"/>
    <d v="2022-11-09T00:00:00"/>
    <s v="Bill"/>
    <s v="INV023985"/>
    <x v="7"/>
    <d v="2022-12-09T00:00:00"/>
    <n v="225"/>
    <x v="0"/>
    <n v="75"/>
    <n v="75"/>
  </r>
  <r>
    <x v="1"/>
    <d v="2022-12-09T00:00:00"/>
    <s v="Bill"/>
    <n v="4530"/>
    <x v="5"/>
    <d v="2022-12-09T00:00:00"/>
    <n v="225"/>
    <x v="0"/>
    <n v="2744"/>
    <n v="2744"/>
  </r>
  <r>
    <x v="1"/>
    <d v="2022-11-22T00:00:00"/>
    <s v="Bill"/>
    <n v="59219"/>
    <x v="21"/>
    <d v="2022-12-11T00:00:00"/>
    <n v="223"/>
    <x v="0"/>
    <n v="162.99"/>
    <n v="162.99"/>
  </r>
  <r>
    <x v="1"/>
    <d v="2022-12-12T00:00:00"/>
    <s v="Bill"/>
    <n v="695662"/>
    <x v="22"/>
    <d v="2022-12-12T00:00:00"/>
    <n v="222"/>
    <x v="0"/>
    <n v="400"/>
    <n v="400"/>
  </r>
  <r>
    <x v="1"/>
    <d v="2022-12-12T00:00:00"/>
    <s v="Bill"/>
    <n v="695664"/>
    <x v="22"/>
    <d v="2022-12-12T00:00:00"/>
    <n v="222"/>
    <x v="0"/>
    <n v="200"/>
    <n v="200"/>
  </r>
  <r>
    <x v="1"/>
    <d v="2022-12-15T00:00:00"/>
    <s v="Bill"/>
    <s v="202212-153"/>
    <x v="23"/>
    <d v="2022-12-15T00:00:00"/>
    <n v="219"/>
    <x v="0"/>
    <n v="172.12"/>
    <n v="172.12"/>
  </r>
  <r>
    <x v="1"/>
    <d v="2022-11-22T00:00:00"/>
    <s v="Bill"/>
    <n v="59217"/>
    <x v="21"/>
    <d v="2022-12-22T00:00:00"/>
    <n v="212"/>
    <x v="0"/>
    <n v="141.4"/>
    <n v="141.4"/>
  </r>
  <r>
    <x v="1"/>
    <d v="2022-11-22T00:00:00"/>
    <s v="Bill"/>
    <n v="59213"/>
    <x v="21"/>
    <d v="2022-12-22T00:00:00"/>
    <n v="212"/>
    <x v="0"/>
    <n v="13.53"/>
    <n v="13.53"/>
  </r>
  <r>
    <x v="1"/>
    <d v="2022-11-27T00:00:00"/>
    <s v="Bill"/>
    <s v="INV024904"/>
    <x v="7"/>
    <d v="2022-12-27T00:00:00"/>
    <n v="207"/>
    <x v="0"/>
    <n v="280"/>
    <n v="280"/>
  </r>
  <r>
    <x v="1"/>
    <d v="2022-11-29T00:00:00"/>
    <s v="Bill"/>
    <s v="INV025214"/>
    <x v="7"/>
    <d v="2022-12-29T00:00:00"/>
    <n v="205"/>
    <x v="0"/>
    <n v="75"/>
    <n v="75"/>
  </r>
  <r>
    <x v="1"/>
    <d v="2022-11-29T00:00:00"/>
    <s v="Bill"/>
    <n v="10967493"/>
    <x v="19"/>
    <d v="2022-12-29T00:00:00"/>
    <n v="205"/>
    <x v="0"/>
    <n v="37.83"/>
    <n v="37.83"/>
  </r>
  <r>
    <x v="1"/>
    <d v="2022-12-31T00:00:00"/>
    <s v="Journal Entry"/>
    <s v="Adj Engineers&amp;Builder"/>
    <x v="24"/>
    <d v="2022-12-31T00:00:00"/>
    <n v="203"/>
    <x v="0"/>
    <n v="77179.850000000006"/>
    <n v="77179.850000000006"/>
  </r>
  <r>
    <x v="1"/>
    <d v="2022-12-31T00:00:00"/>
    <s v="Bill"/>
    <n v="524185"/>
    <x v="25"/>
    <d v="2022-12-31T00:00:00"/>
    <n v="203"/>
    <x v="0"/>
    <n v="2360"/>
    <n v="2360"/>
  </r>
  <r>
    <x v="1"/>
    <d v="2023-01-03T00:00:00"/>
    <s v="Bill"/>
    <s v="9016418927"/>
    <x v="26"/>
    <d v="2023-01-03T00:00:00"/>
    <n v="200"/>
    <x v="0"/>
    <n v="2184.0500000000002"/>
    <n v="2184.0500000000002"/>
  </r>
  <r>
    <x v="1"/>
    <d v="2022-10-31T00:00:00"/>
    <s v="Bill"/>
    <n v="26337"/>
    <x v="27"/>
    <d v="2023-01-11T00:00:00"/>
    <n v="192"/>
    <x v="0"/>
    <n v="11785.63"/>
    <n v="11785.63"/>
  </r>
  <r>
    <x v="1"/>
    <d v="2022-11-30T00:00:00"/>
    <s v="Bill"/>
    <n v="26388"/>
    <x v="27"/>
    <d v="2023-01-12T00:00:00"/>
    <n v="191"/>
    <x v="0"/>
    <n v="6298.75"/>
    <n v="6298.75"/>
  </r>
  <r>
    <x v="1"/>
    <d v="2022-12-13T00:00:00"/>
    <s v="Bill"/>
    <n v="10978016"/>
    <x v="19"/>
    <d v="2023-01-12T00:00:00"/>
    <n v="191"/>
    <x v="0"/>
    <n v="112.26"/>
    <n v="112.26"/>
  </r>
  <r>
    <x v="1"/>
    <d v="2023-01-12T00:00:00"/>
    <s v="Bill"/>
    <s v="9016527823"/>
    <x v="26"/>
    <d v="2023-01-12T00:00:00"/>
    <n v="191"/>
    <x v="0"/>
    <n v="4953.3900000000003"/>
    <n v="4953.3900000000003"/>
  </r>
  <r>
    <x v="1"/>
    <d v="2023-01-13T00:00:00"/>
    <s v="Bill"/>
    <n v="332396"/>
    <x v="28"/>
    <d v="2023-01-13T00:00:00"/>
    <n v="190"/>
    <x v="0"/>
    <n v="4550"/>
    <n v="4550"/>
  </r>
  <r>
    <x v="1"/>
    <d v="2023-01-13T00:00:00"/>
    <s v="Bill"/>
    <s v="9016539883"/>
    <x v="26"/>
    <d v="2023-01-13T00:00:00"/>
    <n v="190"/>
    <x v="0"/>
    <n v="1005.48"/>
    <n v="1005.48"/>
  </r>
  <r>
    <x v="1"/>
    <d v="2022-12-21T00:00:00"/>
    <s v="Bill"/>
    <n v="3125"/>
    <x v="20"/>
    <d v="2023-01-20T00:00:00"/>
    <n v="183"/>
    <x v="0"/>
    <n v="1381"/>
    <n v="1381"/>
  </r>
  <r>
    <x v="1"/>
    <d v="2023-01-23T00:00:00"/>
    <s v="Bill"/>
    <s v="9016620316"/>
    <x v="26"/>
    <d v="2023-01-23T00:00:00"/>
    <n v="180"/>
    <x v="0"/>
    <n v="405.94"/>
    <n v="405.94"/>
  </r>
  <r>
    <x v="1"/>
    <d v="2022-12-27T00:00:00"/>
    <s v="Bill"/>
    <s v="INV026527"/>
    <x v="7"/>
    <d v="2023-01-26T00:00:00"/>
    <n v="177"/>
    <x v="0"/>
    <n v="280"/>
    <n v="280"/>
  </r>
  <r>
    <x v="1"/>
    <d v="2023-01-01T00:00:00"/>
    <s v="Bill"/>
    <s v="INV05251220"/>
    <x v="29"/>
    <d v="2023-01-31T00:00:00"/>
    <n v="172"/>
    <x v="0"/>
    <n v="126.65"/>
    <n v="126.65"/>
  </r>
  <r>
    <x v="1"/>
    <d v="2023-01-04T00:00:00"/>
    <s v="Bill"/>
    <n v="3141"/>
    <x v="20"/>
    <d v="2023-02-03T00:00:00"/>
    <n v="169"/>
    <x v="0"/>
    <n v="520"/>
    <n v="520"/>
  </r>
  <r>
    <x v="1"/>
    <d v="2023-02-06T00:00:00"/>
    <s v="Bill"/>
    <n v="9681"/>
    <x v="30"/>
    <d v="2023-02-06T00:00:00"/>
    <n v="166"/>
    <x v="0"/>
    <n v="5114.8100000000004"/>
    <n v="5114.8100000000004"/>
  </r>
  <r>
    <x v="1"/>
    <d v="2023-02-09T00:00:00"/>
    <s v="Bill"/>
    <s v="9016801491"/>
    <x v="26"/>
    <d v="2023-02-09T00:00:00"/>
    <n v="163"/>
    <x v="0"/>
    <n v="2074.2800000000002"/>
    <n v="2074.2800000000002"/>
  </r>
  <r>
    <x v="1"/>
    <d v="2023-01-11T00:00:00"/>
    <s v="Bill"/>
    <n v="3148"/>
    <x v="20"/>
    <d v="2023-02-10T00:00:00"/>
    <n v="162"/>
    <x v="0"/>
    <n v="3905"/>
    <n v="3905"/>
  </r>
  <r>
    <x v="1"/>
    <d v="2023-02-01T00:00:00"/>
    <s v="Bill"/>
    <n v="420439"/>
    <x v="31"/>
    <d v="2023-02-11T00:00:00"/>
    <n v="161"/>
    <x v="0"/>
    <n v="554.32000000000005"/>
    <n v="554.32000000000005"/>
  </r>
  <r>
    <x v="1"/>
    <d v="2023-01-13T00:00:00"/>
    <s v="Bill"/>
    <n v="10993131"/>
    <x v="19"/>
    <d v="2023-02-12T00:00:00"/>
    <n v="160"/>
    <x v="0"/>
    <n v="161.4"/>
    <n v="161.4"/>
  </r>
  <r>
    <x v="1"/>
    <d v="2022-12-31T00:00:00"/>
    <s v="Bill"/>
    <n v="26654"/>
    <x v="27"/>
    <d v="2023-02-14T00:00:00"/>
    <n v="158"/>
    <x v="0"/>
    <n v="2640"/>
    <n v="2640"/>
  </r>
  <r>
    <x v="1"/>
    <d v="2023-01-27T00:00:00"/>
    <s v="Bill"/>
    <s v="INV028125"/>
    <x v="7"/>
    <d v="2023-02-26T00:00:00"/>
    <n v="146"/>
    <x v="0"/>
    <n v="280"/>
    <n v="280"/>
  </r>
  <r>
    <x v="1"/>
    <d v="2023-02-01T00:00:00"/>
    <s v="Bill"/>
    <n v="3195"/>
    <x v="20"/>
    <d v="2023-03-03T00:00:00"/>
    <n v="141"/>
    <x v="0"/>
    <n v="1502.5"/>
    <n v="1502.5"/>
  </r>
  <r>
    <x v="1"/>
    <d v="2023-03-09T00:00:00"/>
    <s v="Bill"/>
    <s v="9017086026"/>
    <x v="26"/>
    <d v="2023-03-09T00:00:00"/>
    <n v="135"/>
    <x v="0"/>
    <n v="2105.4"/>
    <n v="2105.4"/>
  </r>
  <r>
    <x v="1"/>
    <d v="2023-02-08T00:00:00"/>
    <s v="Bill"/>
    <n v="3205"/>
    <x v="20"/>
    <d v="2023-03-10T00:00:00"/>
    <n v="134"/>
    <x v="0"/>
    <n v="510"/>
    <n v="510"/>
  </r>
  <r>
    <x v="1"/>
    <d v="2023-02-13T00:00:00"/>
    <s v="Bill"/>
    <s v="INV028978"/>
    <x v="7"/>
    <d v="2023-03-15T00:00:00"/>
    <n v="129"/>
    <x v="0"/>
    <n v="75"/>
    <n v="75"/>
  </r>
  <r>
    <x v="1"/>
    <d v="2023-02-13T00:00:00"/>
    <s v="Bill"/>
    <s v="INV028989"/>
    <x v="7"/>
    <d v="2023-03-15T00:00:00"/>
    <n v="129"/>
    <x v="0"/>
    <n v="75"/>
    <n v="75"/>
  </r>
  <r>
    <x v="1"/>
    <d v="2023-02-15T00:00:00"/>
    <s v="Bill"/>
    <n v="3215"/>
    <x v="20"/>
    <d v="2023-03-17T00:00:00"/>
    <n v="127"/>
    <x v="0"/>
    <n v="2298"/>
    <n v="2298"/>
  </r>
  <r>
    <x v="1"/>
    <d v="2023-02-22T00:00:00"/>
    <s v="Bill"/>
    <n v="3232"/>
    <x v="20"/>
    <d v="2023-03-24T00:00:00"/>
    <n v="120"/>
    <x v="0"/>
    <n v="590"/>
    <n v="590"/>
  </r>
  <r>
    <x v="1"/>
    <d v="2023-02-27T00:00:00"/>
    <s v="Bill"/>
    <s v="INV029713"/>
    <x v="7"/>
    <d v="2023-03-29T00:00:00"/>
    <n v="115"/>
    <x v="0"/>
    <n v="280"/>
    <n v="280"/>
  </r>
  <r>
    <x v="1"/>
    <d v="2023-02-28T00:00:00"/>
    <s v="Bill"/>
    <n v="13821"/>
    <x v="32"/>
    <d v="2023-03-30T00:00:00"/>
    <n v="114"/>
    <x v="0"/>
    <n v="225"/>
    <n v="225"/>
  </r>
  <r>
    <x v="1"/>
    <d v="2023-03-01T00:00:00"/>
    <s v="Bill"/>
    <n v="3240"/>
    <x v="20"/>
    <d v="2023-03-31T00:00:00"/>
    <n v="113"/>
    <x v="0"/>
    <n v="287"/>
    <n v="287"/>
  </r>
  <r>
    <x v="1"/>
    <d v="2023-03-06T00:00:00"/>
    <s v="Bill"/>
    <s v="INV030129"/>
    <x v="7"/>
    <d v="2023-04-05T00:00:00"/>
    <n v="108"/>
    <x v="0"/>
    <n v="70"/>
    <n v="70"/>
  </r>
  <r>
    <x v="1"/>
    <d v="2023-04-06T00:00:00"/>
    <s v="Bill"/>
    <s v="9017353726"/>
    <x v="26"/>
    <d v="2023-04-06T00:00:00"/>
    <n v="107"/>
    <x v="0"/>
    <n v="2136.98"/>
    <n v="2136.98"/>
  </r>
  <r>
    <x v="1"/>
    <d v="2023-04-07T00:00:00"/>
    <s v="Bill"/>
    <s v="JOB(1090)"/>
    <x v="11"/>
    <d v="2023-04-07T00:00:00"/>
    <n v="106"/>
    <x v="0"/>
    <n v="32850"/>
    <n v="0.01"/>
  </r>
  <r>
    <x v="1"/>
    <d v="2023-03-27T00:00:00"/>
    <s v="Bill"/>
    <n v="1032"/>
    <x v="33"/>
    <d v="2023-04-10T00:00:00"/>
    <n v="103"/>
    <x v="0"/>
    <n v="3542.39"/>
    <n v="3542.39"/>
  </r>
  <r>
    <x v="1"/>
    <d v="2023-03-27T00:00:00"/>
    <s v="Bill"/>
    <n v="1041"/>
    <x v="33"/>
    <d v="2023-04-10T00:00:00"/>
    <n v="103"/>
    <x v="0"/>
    <n v="3332.39"/>
    <n v="3332.39"/>
  </r>
  <r>
    <x v="1"/>
    <d v="2023-03-15T00:00:00"/>
    <s v="Bill"/>
    <n v="3285"/>
    <x v="20"/>
    <d v="2023-04-14T00:00:00"/>
    <n v="99"/>
    <x v="0"/>
    <n v="255"/>
    <n v="255"/>
  </r>
  <r>
    <x v="1"/>
    <d v="2023-04-14T00:00:00"/>
    <s v="Bill"/>
    <s v="CC030227"/>
    <x v="34"/>
    <d v="2023-04-14T00:00:00"/>
    <n v="99"/>
    <x v="0"/>
    <n v="1516"/>
    <n v="1516"/>
  </r>
  <r>
    <x v="1"/>
    <d v="2023-03-21T00:00:00"/>
    <s v="Bill"/>
    <n v="9283"/>
    <x v="35"/>
    <d v="2023-04-20T00:00:00"/>
    <n v="93"/>
    <x v="0"/>
    <n v="2273.25"/>
    <n v="2273.25"/>
  </r>
  <r>
    <x v="1"/>
    <d v="2023-03-22T00:00:00"/>
    <s v="Bill"/>
    <n v="3306"/>
    <x v="20"/>
    <d v="2023-04-21T00:00:00"/>
    <n v="92"/>
    <x v="0"/>
    <n v="320"/>
    <n v="320"/>
  </r>
  <r>
    <x v="1"/>
    <d v="2023-03-29T00:00:00"/>
    <s v="Bill"/>
    <n v="3318"/>
    <x v="20"/>
    <d v="2023-04-28T00:00:00"/>
    <n v="85"/>
    <x v="1"/>
    <n v="480"/>
    <n v="480"/>
  </r>
  <r>
    <x v="1"/>
    <d v="2023-04-01T00:00:00"/>
    <s v="Bill"/>
    <s v="INV05624063"/>
    <x v="29"/>
    <d v="2023-05-01T00:00:00"/>
    <n v="82"/>
    <x v="1"/>
    <n v="126.65"/>
    <n v="126.65"/>
  </r>
  <r>
    <x v="1"/>
    <d v="2023-05-02T00:00:00"/>
    <s v="Bill"/>
    <s v="AC904608"/>
    <x v="9"/>
    <d v="2023-05-02T00:00:00"/>
    <n v="81"/>
    <x v="1"/>
    <n v="350"/>
    <n v="350"/>
  </r>
  <r>
    <x v="1"/>
    <d v="2023-05-02T00:00:00"/>
    <s v="Bill"/>
    <s v="AC907267"/>
    <x v="9"/>
    <d v="2023-05-02T00:00:00"/>
    <n v="81"/>
    <x v="1"/>
    <n v="350"/>
    <n v="350"/>
  </r>
  <r>
    <x v="1"/>
    <d v="2023-04-05T00:00:00"/>
    <s v="Bill"/>
    <n v="3352"/>
    <x v="20"/>
    <d v="2023-05-05T00:00:00"/>
    <n v="78"/>
    <x v="1"/>
    <n v="2152.5"/>
    <n v="2152.5"/>
  </r>
  <r>
    <x v="1"/>
    <d v="2023-05-05T00:00:00"/>
    <s v="Bill"/>
    <s v="9017627181"/>
    <x v="26"/>
    <d v="2023-05-05T00:00:00"/>
    <n v="78"/>
    <x v="1"/>
    <n v="3095.95"/>
    <n v="3095.95"/>
  </r>
  <r>
    <x v="1"/>
    <d v="2023-05-07T00:00:00"/>
    <s v="Bill"/>
    <n v="4974"/>
    <x v="5"/>
    <d v="2023-05-07T00:00:00"/>
    <n v="76"/>
    <x v="1"/>
    <n v="4647"/>
    <n v="4647"/>
  </r>
  <r>
    <x v="1"/>
    <d v="2023-05-07T00:00:00"/>
    <s v="Bill"/>
    <n v="5160"/>
    <x v="5"/>
    <d v="2023-05-07T00:00:00"/>
    <n v="76"/>
    <x v="1"/>
    <n v="1939"/>
    <n v="1939"/>
  </r>
  <r>
    <x v="1"/>
    <d v="2023-05-09T00:00:00"/>
    <s v="Bill"/>
    <s v="165157-3"/>
    <x v="36"/>
    <d v="2023-05-09T00:00:00"/>
    <n v="74"/>
    <x v="1"/>
    <n v="7443.75"/>
    <n v="7443.75"/>
  </r>
  <r>
    <x v="1"/>
    <d v="2023-04-12T00:00:00"/>
    <s v="Bill"/>
    <n v="3374"/>
    <x v="20"/>
    <d v="2023-05-12T00:00:00"/>
    <n v="71"/>
    <x v="1"/>
    <n v="1641.5"/>
    <n v="1641.5"/>
  </r>
  <r>
    <x v="1"/>
    <d v="2023-04-19T00:00:00"/>
    <s v="Bill"/>
    <n v="3391"/>
    <x v="20"/>
    <d v="2023-05-19T00:00:00"/>
    <n v="64"/>
    <x v="1"/>
    <n v="3700"/>
    <n v="3700"/>
  </r>
  <r>
    <x v="1"/>
    <d v="2023-05-24T00:00:00"/>
    <s v="Bill"/>
    <s v="9017784684"/>
    <x v="26"/>
    <d v="2023-05-24T00:00:00"/>
    <n v="59"/>
    <x v="2"/>
    <n v="12799.21"/>
    <n v="12799.21"/>
  </r>
  <r>
    <x v="1"/>
    <d v="2023-05-27T00:00:00"/>
    <s v="Bill"/>
    <n v="5251"/>
    <x v="5"/>
    <d v="2023-05-27T00:00:00"/>
    <n v="56"/>
    <x v="2"/>
    <n v="571"/>
    <n v="571"/>
  </r>
  <r>
    <x v="1"/>
    <d v="2023-05-30T00:00:00"/>
    <s v="Bill"/>
    <n v="113867"/>
    <x v="37"/>
    <d v="2023-05-30T00:00:00"/>
    <n v="53"/>
    <x v="2"/>
    <n v="575"/>
    <n v="575"/>
  </r>
  <r>
    <x v="1"/>
    <d v="2023-06-20T00:00:00"/>
    <s v="Bill"/>
    <s v="2108.048-02"/>
    <x v="38"/>
    <d v="2023-06-20T00:00:00"/>
    <n v="32"/>
    <x v="2"/>
    <n v="6576.19"/>
    <n v="6576.19"/>
  </r>
  <r>
    <x v="1"/>
    <d v="2023-07-14T00:00:00"/>
    <s v="Bill"/>
    <s v="AC910816"/>
    <x v="9"/>
    <d v="2023-07-14T00:00:00"/>
    <n v="8"/>
    <x v="3"/>
    <n v="500"/>
    <n v="500"/>
  </r>
  <r>
    <x v="2"/>
    <d v="2022-10-10T00:00:00"/>
    <s v="Bill"/>
    <n v="221019"/>
    <x v="2"/>
    <d v="2022-10-10T00:00:00"/>
    <n v="285"/>
    <x v="0"/>
    <n v="2625"/>
    <n v="2625"/>
  </r>
  <r>
    <x v="2"/>
    <d v="2022-10-10T00:00:00"/>
    <s v="Bill"/>
    <n v="221011"/>
    <x v="2"/>
    <d v="2022-10-10T00:00:00"/>
    <n v="285"/>
    <x v="0"/>
    <n v="1375"/>
    <n v="1375"/>
  </r>
  <r>
    <x v="2"/>
    <d v="2022-11-29T00:00:00"/>
    <s v="Bill"/>
    <n v="53447"/>
    <x v="39"/>
    <d v="2022-11-29T00:00:00"/>
    <n v="235"/>
    <x v="0"/>
    <n v="100"/>
    <n v="100"/>
  </r>
  <r>
    <x v="2"/>
    <d v="2022-11-29T00:00:00"/>
    <s v="Bill"/>
    <n v="53454"/>
    <x v="39"/>
    <d v="2022-11-29T00:00:00"/>
    <n v="235"/>
    <x v="0"/>
    <n v="100"/>
    <n v="100"/>
  </r>
  <r>
    <x v="2"/>
    <d v="2022-11-30T00:00:00"/>
    <s v="Bill"/>
    <n v="17419"/>
    <x v="8"/>
    <d v="2022-12-10T00:00:00"/>
    <n v="224"/>
    <x v="0"/>
    <n v="12500"/>
    <n v="12500"/>
  </r>
  <r>
    <x v="2"/>
    <d v="2022-11-29T00:00:00"/>
    <s v="Bill"/>
    <n v="53455"/>
    <x v="39"/>
    <d v="2022-12-12T00:00:00"/>
    <n v="222"/>
    <x v="0"/>
    <n v="2575"/>
    <n v="2575"/>
  </r>
  <r>
    <x v="2"/>
    <d v="2022-11-29T00:00:00"/>
    <s v="Bill"/>
    <n v="53444"/>
    <x v="39"/>
    <d v="2022-12-12T00:00:00"/>
    <n v="222"/>
    <x v="0"/>
    <n v="337"/>
    <n v="337"/>
  </r>
  <r>
    <x v="2"/>
    <d v="2022-11-29T00:00:00"/>
    <s v="Bill"/>
    <n v="53445"/>
    <x v="39"/>
    <d v="2022-12-12T00:00:00"/>
    <n v="222"/>
    <x v="0"/>
    <n v="100"/>
    <n v="100"/>
  </r>
  <r>
    <x v="2"/>
    <d v="2022-11-29T00:00:00"/>
    <s v="Bill"/>
    <n v="53446"/>
    <x v="39"/>
    <d v="2022-12-12T00:00:00"/>
    <n v="222"/>
    <x v="0"/>
    <n v="100"/>
    <n v="100"/>
  </r>
  <r>
    <x v="2"/>
    <d v="2022-11-29T00:00:00"/>
    <s v="Bill"/>
    <n v="53448"/>
    <x v="39"/>
    <d v="2022-12-12T00:00:00"/>
    <n v="222"/>
    <x v="0"/>
    <n v="100"/>
    <n v="100"/>
  </r>
  <r>
    <x v="2"/>
    <d v="2022-11-29T00:00:00"/>
    <s v="Bill"/>
    <n v="53449"/>
    <x v="39"/>
    <d v="2022-12-12T00:00:00"/>
    <n v="222"/>
    <x v="0"/>
    <n v="100"/>
    <n v="100"/>
  </r>
  <r>
    <x v="2"/>
    <d v="2022-11-29T00:00:00"/>
    <s v="Bill"/>
    <n v="53450"/>
    <x v="39"/>
    <d v="2022-12-12T00:00:00"/>
    <n v="222"/>
    <x v="0"/>
    <n v="100"/>
    <n v="100"/>
  </r>
  <r>
    <x v="2"/>
    <d v="2022-11-29T00:00:00"/>
    <s v="Bill"/>
    <n v="53451"/>
    <x v="39"/>
    <d v="2022-12-12T00:00:00"/>
    <n v="222"/>
    <x v="0"/>
    <n v="100"/>
    <n v="100"/>
  </r>
  <r>
    <x v="2"/>
    <d v="2022-11-29T00:00:00"/>
    <s v="Bill"/>
    <n v="53452"/>
    <x v="39"/>
    <d v="2022-12-12T00:00:00"/>
    <n v="222"/>
    <x v="0"/>
    <n v="100"/>
    <n v="100"/>
  </r>
  <r>
    <x v="2"/>
    <d v="2022-11-29T00:00:00"/>
    <s v="Bill"/>
    <n v="53453"/>
    <x v="39"/>
    <d v="2022-12-12T00:00:00"/>
    <n v="222"/>
    <x v="0"/>
    <n v="100"/>
    <n v="100"/>
  </r>
  <r>
    <x v="2"/>
    <d v="2022-12-30T00:00:00"/>
    <s v="Bill"/>
    <n v="17452"/>
    <x v="8"/>
    <d v="2023-01-14T00:00:00"/>
    <n v="189"/>
    <x v="0"/>
    <n v="10325"/>
    <n v="10325"/>
  </r>
  <r>
    <x v="2"/>
    <d v="2023-03-27T00:00:00"/>
    <s v="Bill"/>
    <n v="1038"/>
    <x v="33"/>
    <d v="2023-04-10T00:00:00"/>
    <n v="103"/>
    <x v="0"/>
    <n v="9842.39"/>
    <n v="9842.39"/>
  </r>
  <r>
    <x v="2"/>
    <d v="2023-03-27T00:00:00"/>
    <s v="Bill"/>
    <n v="1035"/>
    <x v="33"/>
    <d v="2023-04-10T00:00:00"/>
    <n v="103"/>
    <x v="0"/>
    <n v="7322.39"/>
    <n v="7322.39"/>
  </r>
  <r>
    <x v="2"/>
    <d v="2023-04-29T00:00:00"/>
    <s v="Bill"/>
    <n v="230413"/>
    <x v="2"/>
    <d v="2023-04-29T00:00:00"/>
    <n v="84"/>
    <x v="1"/>
    <n v="250"/>
    <n v="250"/>
  </r>
  <r>
    <x v="3"/>
    <d v="2021-06-30T00:00:00"/>
    <s v="Bill"/>
    <n v="17080"/>
    <x v="8"/>
    <d v="2021-07-10T00:00:00"/>
    <n v="742"/>
    <x v="0"/>
    <n v="36081.56"/>
    <n v="36081.56"/>
  </r>
  <r>
    <x v="3"/>
    <d v="2021-07-22T00:00:00"/>
    <s v="Bill"/>
    <n v="17084"/>
    <x v="8"/>
    <d v="2021-07-22T00:00:00"/>
    <n v="730"/>
    <x v="0"/>
    <n v="1576.76"/>
    <n v="1576.76"/>
  </r>
  <r>
    <x v="3"/>
    <d v="2021-08-13T00:00:00"/>
    <s v="Bill"/>
    <n v="17104"/>
    <x v="8"/>
    <d v="2021-08-23T00:00:00"/>
    <n v="698"/>
    <x v="0"/>
    <n v="12500.78"/>
    <n v="12500.78"/>
  </r>
  <r>
    <x v="3"/>
    <d v="2022-01-31T00:00:00"/>
    <s v="Bill"/>
    <n v="17222"/>
    <x v="8"/>
    <d v="2022-01-31T00:00:00"/>
    <n v="537"/>
    <x v="0"/>
    <n v="4250"/>
    <n v="4250"/>
  </r>
  <r>
    <x v="3"/>
    <d v="2022-04-06T00:00:00"/>
    <s v="Bill"/>
    <n v="17263"/>
    <x v="8"/>
    <d v="2022-04-06T00:00:00"/>
    <n v="472"/>
    <x v="0"/>
    <n v="3187.5"/>
    <n v="3187.5"/>
  </r>
  <r>
    <x v="3"/>
    <d v="2022-05-24T00:00:00"/>
    <s v="Bill"/>
    <n v="17301"/>
    <x v="8"/>
    <d v="2022-05-24T00:00:00"/>
    <n v="424"/>
    <x v="0"/>
    <n v="2350.7800000000002"/>
    <n v="2350.7800000000002"/>
  </r>
  <r>
    <x v="3"/>
    <d v="2022-07-27T00:00:00"/>
    <s v="Bill"/>
    <n v="17324"/>
    <x v="8"/>
    <d v="2022-07-27T00:00:00"/>
    <n v="360"/>
    <x v="0"/>
    <n v="362.5"/>
    <n v="362.5"/>
  </r>
  <r>
    <x v="3"/>
    <d v="2022-10-12T00:00:00"/>
    <s v="Bill"/>
    <n v="2944"/>
    <x v="20"/>
    <d v="2022-10-12T00:00:00"/>
    <n v="283"/>
    <x v="0"/>
    <n v="2325"/>
    <n v="2325"/>
  </r>
  <r>
    <x v="3"/>
    <d v="2022-11-02T00:00:00"/>
    <s v="Bill"/>
    <n v="17396"/>
    <x v="8"/>
    <d v="2022-11-12T00:00:00"/>
    <n v="252"/>
    <x v="0"/>
    <n v="750"/>
    <n v="750"/>
  </r>
  <r>
    <x v="3"/>
    <d v="2022-11-16T00:00:00"/>
    <s v="Bill"/>
    <n v="1164"/>
    <x v="40"/>
    <d v="2022-11-16T00:00:00"/>
    <n v="248"/>
    <x v="0"/>
    <n v="9125"/>
    <n v="9125"/>
  </r>
  <r>
    <x v="3"/>
    <d v="2022-12-31T00:00:00"/>
    <s v="Journal Entry"/>
    <s v="Adj_Engineer&amp;Builder"/>
    <x v="41"/>
    <d v="2022-12-31T00:00:00"/>
    <n v="203"/>
    <x v="0"/>
    <n v="77179.850000000006"/>
    <n v="77179.850000000006"/>
  </r>
  <r>
    <x v="3"/>
    <d v="2023-01-11T00:00:00"/>
    <s v="Bill"/>
    <n v="3151"/>
    <x v="20"/>
    <d v="2023-02-10T00:00:00"/>
    <n v="162"/>
    <x v="0"/>
    <n v="925"/>
    <n v="925"/>
  </r>
  <r>
    <x v="3"/>
    <d v="2023-03-27T00:00:00"/>
    <s v="Bill"/>
    <n v="1040"/>
    <x v="33"/>
    <d v="2023-04-10T00:00:00"/>
    <n v="103"/>
    <x v="0"/>
    <n v="7112.39"/>
    <n v="7112.39"/>
  </r>
  <r>
    <x v="3"/>
    <d v="2023-04-14T00:00:00"/>
    <s v="Bill"/>
    <s v="CC030227"/>
    <x v="34"/>
    <d v="2023-04-14T00:00:00"/>
    <n v="99"/>
    <x v="0"/>
    <n v="1516"/>
    <n v="1516"/>
  </r>
  <r>
    <x v="3"/>
    <d v="2023-03-22T00:00:00"/>
    <s v="Bill"/>
    <s v="INV-00019615"/>
    <x v="8"/>
    <d v="2023-04-21T00:00:00"/>
    <n v="92"/>
    <x v="0"/>
    <n v="200"/>
    <n v="200"/>
  </r>
  <r>
    <x v="3"/>
    <d v="2023-03-30T00:00:00"/>
    <s v="Bill"/>
    <n v="466"/>
    <x v="42"/>
    <d v="2023-04-30T00:00:00"/>
    <n v="83"/>
    <x v="1"/>
    <n v="515291.08"/>
    <n v="515291.08"/>
  </r>
  <r>
    <x v="3"/>
    <d v="2023-04-30T00:00:00"/>
    <s v="Bill"/>
    <s v="Estimate#7"/>
    <x v="11"/>
    <d v="2023-04-30T00:00:00"/>
    <n v="83"/>
    <x v="1"/>
    <n v="92580.93"/>
    <n v="92580.93"/>
  </r>
  <r>
    <x v="4"/>
    <d v="2022-01-20T00:00:00"/>
    <s v="Bill"/>
    <n v="37543"/>
    <x v="43"/>
    <d v="2022-01-20T00:00:00"/>
    <n v="548"/>
    <x v="0"/>
    <n v="11746.8"/>
    <n v="11746.8"/>
  </r>
  <r>
    <x v="4"/>
    <d v="2022-06-10T00:00:00"/>
    <s v="Bill"/>
    <s v="AC893374"/>
    <x v="9"/>
    <d v="2022-06-10T00:00:00"/>
    <n v="407"/>
    <x v="0"/>
    <n v="350"/>
    <n v="350"/>
  </r>
  <r>
    <x v="4"/>
    <d v="2022-07-15T00:00:00"/>
    <s v="Bill"/>
    <n v="2987141"/>
    <x v="44"/>
    <d v="2022-07-15T00:00:00"/>
    <n v="372"/>
    <x v="0"/>
    <n v="120"/>
    <n v="120"/>
  </r>
  <r>
    <x v="4"/>
    <d v="2022-07-15T00:00:00"/>
    <s v="Bill"/>
    <n v="2987142"/>
    <x v="44"/>
    <d v="2022-07-15T00:00:00"/>
    <n v="372"/>
    <x v="0"/>
    <n v="120"/>
    <n v="120"/>
  </r>
  <r>
    <x v="4"/>
    <d v="2022-07-15T00:00:00"/>
    <s v="Bill"/>
    <n v="2987143"/>
    <x v="44"/>
    <d v="2022-07-15T00:00:00"/>
    <n v="372"/>
    <x v="0"/>
    <n v="120"/>
    <n v="120"/>
  </r>
  <r>
    <x v="4"/>
    <d v="2022-07-15T00:00:00"/>
    <s v="Bill"/>
    <n v="2987144"/>
    <x v="44"/>
    <d v="2022-07-15T00:00:00"/>
    <n v="372"/>
    <x v="0"/>
    <n v="120"/>
    <n v="120"/>
  </r>
  <r>
    <x v="4"/>
    <d v="2022-07-15T00:00:00"/>
    <s v="Bill"/>
    <n v="2987146"/>
    <x v="44"/>
    <d v="2022-07-15T00:00:00"/>
    <n v="372"/>
    <x v="0"/>
    <n v="120"/>
    <n v="120"/>
  </r>
  <r>
    <x v="4"/>
    <d v="2022-07-15T00:00:00"/>
    <s v="Bill"/>
    <n v="2987147"/>
    <x v="44"/>
    <d v="2022-07-15T00:00:00"/>
    <n v="372"/>
    <x v="0"/>
    <n v="120"/>
    <n v="120"/>
  </r>
  <r>
    <x v="4"/>
    <d v="2022-07-22T00:00:00"/>
    <s v="Bill"/>
    <n v="615962"/>
    <x v="14"/>
    <d v="2022-07-22T00:00:00"/>
    <n v="365"/>
    <x v="0"/>
    <n v="1650"/>
    <n v="1650"/>
  </r>
  <r>
    <x v="4"/>
    <d v="2022-07-22T00:00:00"/>
    <s v="Bill"/>
    <n v="615841"/>
    <x v="14"/>
    <d v="2022-07-22T00:00:00"/>
    <n v="365"/>
    <x v="0"/>
    <n v="1200"/>
    <n v="1200"/>
  </r>
  <r>
    <x v="4"/>
    <d v="2022-07-28T00:00:00"/>
    <s v="Bill"/>
    <n v="40641"/>
    <x v="0"/>
    <d v="2022-07-28T00:00:00"/>
    <n v="359"/>
    <x v="0"/>
    <n v="300"/>
    <n v="300"/>
  </r>
  <r>
    <x v="4"/>
    <d v="2022-08-04T00:00:00"/>
    <s v="Bill"/>
    <n v="617250"/>
    <x v="14"/>
    <d v="2022-08-04T00:00:00"/>
    <n v="352"/>
    <x v="0"/>
    <n v="1492.2"/>
    <n v="1492.2"/>
  </r>
  <r>
    <x v="4"/>
    <d v="2022-08-04T00:00:00"/>
    <s v="Bill"/>
    <n v="617249"/>
    <x v="14"/>
    <d v="2022-08-04T00:00:00"/>
    <n v="352"/>
    <x v="0"/>
    <n v="1236"/>
    <n v="1236"/>
  </r>
  <r>
    <x v="4"/>
    <d v="2022-08-17T00:00:00"/>
    <s v="Bill"/>
    <n v="3016316"/>
    <x v="44"/>
    <d v="2022-08-17T00:00:00"/>
    <n v="339"/>
    <x v="0"/>
    <n v="105"/>
    <n v="105"/>
  </r>
  <r>
    <x v="4"/>
    <d v="2022-08-17T00:00:00"/>
    <s v="Bill"/>
    <n v="3016320"/>
    <x v="44"/>
    <d v="2022-08-17T00:00:00"/>
    <n v="339"/>
    <x v="0"/>
    <n v="105"/>
    <n v="105"/>
  </r>
  <r>
    <x v="4"/>
    <d v="2022-08-17T00:00:00"/>
    <s v="Bill"/>
    <n v="3016324"/>
    <x v="44"/>
    <d v="2022-08-17T00:00:00"/>
    <n v="339"/>
    <x v="0"/>
    <n v="105"/>
    <n v="105"/>
  </r>
  <r>
    <x v="4"/>
    <d v="2022-08-17T00:00:00"/>
    <s v="Bill"/>
    <n v="3016326"/>
    <x v="44"/>
    <d v="2022-08-17T00:00:00"/>
    <n v="339"/>
    <x v="0"/>
    <n v="105"/>
    <n v="105"/>
  </r>
  <r>
    <x v="4"/>
    <d v="2022-08-17T00:00:00"/>
    <s v="Bill"/>
    <n v="3016330"/>
    <x v="44"/>
    <d v="2022-08-17T00:00:00"/>
    <n v="339"/>
    <x v="0"/>
    <n v="105"/>
    <n v="105"/>
  </r>
  <r>
    <x v="4"/>
    <d v="2022-08-09T00:00:00"/>
    <s v="Bill"/>
    <n v="6816"/>
    <x v="45"/>
    <d v="2022-08-25T00:00:00"/>
    <n v="331"/>
    <x v="0"/>
    <n v="549"/>
    <n v="549"/>
  </r>
  <r>
    <x v="4"/>
    <d v="2022-08-29T00:00:00"/>
    <s v="Bill"/>
    <n v="41076"/>
    <x v="0"/>
    <d v="2022-08-29T00:00:00"/>
    <n v="327"/>
    <x v="0"/>
    <n v="375"/>
    <n v="375"/>
  </r>
  <r>
    <x v="4"/>
    <d v="2022-08-26T00:00:00"/>
    <s v="Bill"/>
    <n v="85249"/>
    <x v="10"/>
    <d v="2022-09-06T00:00:00"/>
    <n v="319"/>
    <x v="0"/>
    <n v="4222.47"/>
    <n v="4222.47"/>
  </r>
  <r>
    <x v="4"/>
    <d v="2022-09-06T00:00:00"/>
    <s v="Bill"/>
    <s v="INV#123553"/>
    <x v="46"/>
    <d v="2022-09-06T00:00:00"/>
    <n v="319"/>
    <x v="0"/>
    <n v="4178.88"/>
    <n v="4178.88"/>
  </r>
  <r>
    <x v="4"/>
    <d v="2022-09-06T00:00:00"/>
    <s v="Bill"/>
    <s v="INV#123557"/>
    <x v="46"/>
    <d v="2022-09-06T00:00:00"/>
    <n v="319"/>
    <x v="0"/>
    <n v="3688.5"/>
    <n v="3688.5"/>
  </r>
  <r>
    <x v="4"/>
    <d v="2022-09-09T00:00:00"/>
    <s v="Bill"/>
    <s v="INV#124387"/>
    <x v="46"/>
    <d v="2022-09-09T00:00:00"/>
    <n v="316"/>
    <x v="0"/>
    <n v="2568.12"/>
    <n v="2568.12"/>
  </r>
  <r>
    <x v="4"/>
    <d v="2022-09-09T00:00:00"/>
    <s v="Bill"/>
    <n v="3042550"/>
    <x v="44"/>
    <d v="2022-09-09T00:00:00"/>
    <n v="316"/>
    <x v="0"/>
    <n v="200"/>
    <n v="200"/>
  </r>
  <r>
    <x v="4"/>
    <d v="2022-09-09T00:00:00"/>
    <s v="Bill"/>
    <n v="3042548"/>
    <x v="44"/>
    <d v="2022-09-09T00:00:00"/>
    <n v="316"/>
    <x v="0"/>
    <n v="200"/>
    <n v="200"/>
  </r>
  <r>
    <x v="4"/>
    <d v="2022-08-26T00:00:00"/>
    <s v="Bill"/>
    <n v="85250"/>
    <x v="10"/>
    <d v="2022-09-10T00:00:00"/>
    <n v="315"/>
    <x v="0"/>
    <n v="4260.34"/>
    <n v="4260.34"/>
  </r>
  <r>
    <x v="4"/>
    <d v="2022-08-26T00:00:00"/>
    <s v="Bill"/>
    <n v="85248"/>
    <x v="10"/>
    <d v="2022-09-10T00:00:00"/>
    <n v="315"/>
    <x v="0"/>
    <n v="4222.47"/>
    <n v="4222.47"/>
  </r>
  <r>
    <x v="4"/>
    <d v="2022-09-12T00:00:00"/>
    <s v="Bill"/>
    <s v="INV# 124997"/>
    <x v="46"/>
    <d v="2022-09-12T00:00:00"/>
    <n v="313"/>
    <x v="0"/>
    <n v="2137.8200000000002"/>
    <n v="2137.8200000000002"/>
  </r>
  <r>
    <x v="4"/>
    <d v="2022-09-13T00:00:00"/>
    <s v="Bill"/>
    <n v="6926"/>
    <x v="45"/>
    <d v="2022-09-13T00:00:00"/>
    <n v="312"/>
    <x v="0"/>
    <n v="240"/>
    <n v="240"/>
  </r>
  <r>
    <x v="4"/>
    <d v="2022-09-14T00:00:00"/>
    <s v="Bill"/>
    <s v="ES696997"/>
    <x v="9"/>
    <d v="2022-09-14T00:00:00"/>
    <n v="311"/>
    <x v="0"/>
    <n v="4221.75"/>
    <n v="4221.75"/>
  </r>
  <r>
    <x v="4"/>
    <d v="2022-09-13T00:00:00"/>
    <s v="Bill"/>
    <n v="6925"/>
    <x v="45"/>
    <d v="2022-09-23T00:00:00"/>
    <n v="302"/>
    <x v="0"/>
    <n v="240"/>
    <n v="240"/>
  </r>
  <r>
    <x v="4"/>
    <d v="2022-09-13T00:00:00"/>
    <s v="Bill"/>
    <n v="6924"/>
    <x v="45"/>
    <d v="2022-09-23T00:00:00"/>
    <n v="302"/>
    <x v="0"/>
    <n v="240"/>
    <n v="240"/>
  </r>
  <r>
    <x v="4"/>
    <d v="2022-09-13T00:00:00"/>
    <s v="Bill"/>
    <n v="6923"/>
    <x v="45"/>
    <d v="2022-09-23T00:00:00"/>
    <n v="302"/>
    <x v="0"/>
    <n v="240"/>
    <n v="240"/>
  </r>
  <r>
    <x v="4"/>
    <d v="2022-09-13T00:00:00"/>
    <s v="Bill"/>
    <n v="6922"/>
    <x v="45"/>
    <d v="2022-09-23T00:00:00"/>
    <n v="302"/>
    <x v="0"/>
    <n v="240"/>
    <n v="240"/>
  </r>
  <r>
    <x v="4"/>
    <d v="2022-09-23T00:00:00"/>
    <s v="Bill"/>
    <n v="6946"/>
    <x v="45"/>
    <d v="2022-09-23T00:00:00"/>
    <n v="302"/>
    <x v="0"/>
    <n v="240"/>
    <n v="240"/>
  </r>
  <r>
    <x v="4"/>
    <d v="2022-09-23T00:00:00"/>
    <s v="Bill"/>
    <n v="6945"/>
    <x v="45"/>
    <d v="2022-09-23T00:00:00"/>
    <n v="302"/>
    <x v="0"/>
    <n v="240"/>
    <n v="240"/>
  </r>
  <r>
    <x v="4"/>
    <d v="2022-09-23T00:00:00"/>
    <s v="Bill"/>
    <n v="6944"/>
    <x v="45"/>
    <d v="2022-09-23T00:00:00"/>
    <n v="302"/>
    <x v="0"/>
    <n v="240"/>
    <n v="240"/>
  </r>
  <r>
    <x v="4"/>
    <d v="2022-09-23T00:00:00"/>
    <s v="Bill"/>
    <n v="6943"/>
    <x v="45"/>
    <d v="2022-09-23T00:00:00"/>
    <n v="302"/>
    <x v="0"/>
    <n v="240"/>
    <n v="240"/>
  </r>
  <r>
    <x v="4"/>
    <d v="2022-09-23T00:00:00"/>
    <s v="Bill"/>
    <n v="6948"/>
    <x v="45"/>
    <d v="2022-09-26T00:00:00"/>
    <n v="299"/>
    <x v="0"/>
    <n v="240"/>
    <n v="240"/>
  </r>
  <r>
    <x v="4"/>
    <d v="2022-09-30T00:00:00"/>
    <s v="Bill"/>
    <s v="AC898029"/>
    <x v="9"/>
    <d v="2022-09-30T00:00:00"/>
    <n v="295"/>
    <x v="0"/>
    <n v="350"/>
    <n v="350"/>
  </r>
  <r>
    <x v="4"/>
    <d v="2022-10-06T00:00:00"/>
    <s v="Bill"/>
    <n v="661174"/>
    <x v="47"/>
    <d v="2022-10-06T00:00:00"/>
    <n v="289"/>
    <x v="0"/>
    <n v="5680"/>
    <n v="5680"/>
  </r>
  <r>
    <x v="4"/>
    <d v="2022-10-06T00:00:00"/>
    <s v="Bill"/>
    <n v="661176"/>
    <x v="47"/>
    <d v="2022-10-06T00:00:00"/>
    <n v="289"/>
    <x v="0"/>
    <n v="5680"/>
    <n v="5680"/>
  </r>
  <r>
    <x v="4"/>
    <d v="2022-10-06T00:00:00"/>
    <s v="Bill"/>
    <n v="661175"/>
    <x v="47"/>
    <d v="2022-10-06T00:00:00"/>
    <n v="289"/>
    <x v="0"/>
    <n v="350"/>
    <n v="350"/>
  </r>
  <r>
    <x v="4"/>
    <d v="2022-10-06T00:00:00"/>
    <s v="Bill"/>
    <n v="661177"/>
    <x v="47"/>
    <d v="2022-10-06T00:00:00"/>
    <n v="289"/>
    <x v="0"/>
    <n v="350"/>
    <n v="350"/>
  </r>
  <r>
    <x v="4"/>
    <d v="2022-10-06T00:00:00"/>
    <s v="Bill"/>
    <n v="661178"/>
    <x v="47"/>
    <d v="2022-10-06T00:00:00"/>
    <n v="289"/>
    <x v="0"/>
    <n v="70"/>
    <n v="70"/>
  </r>
  <r>
    <x v="4"/>
    <d v="2022-10-06T00:00:00"/>
    <s v="Bill"/>
    <n v="661179"/>
    <x v="47"/>
    <d v="2022-10-06T00:00:00"/>
    <n v="289"/>
    <x v="0"/>
    <n v="70"/>
    <n v="70"/>
  </r>
  <r>
    <x v="4"/>
    <d v="2022-10-06T00:00:00"/>
    <s v="Bill"/>
    <n v="661180"/>
    <x v="47"/>
    <d v="2022-10-06T00:00:00"/>
    <n v="289"/>
    <x v="0"/>
    <n v="70"/>
    <n v="70"/>
  </r>
  <r>
    <x v="4"/>
    <d v="2022-10-06T00:00:00"/>
    <s v="Bill"/>
    <n v="661181"/>
    <x v="47"/>
    <d v="2022-10-06T00:00:00"/>
    <n v="289"/>
    <x v="0"/>
    <n v="70"/>
    <n v="70"/>
  </r>
  <r>
    <x v="4"/>
    <d v="2022-10-06T00:00:00"/>
    <s v="Bill"/>
    <n v="661182"/>
    <x v="47"/>
    <d v="2022-10-06T00:00:00"/>
    <n v="289"/>
    <x v="0"/>
    <n v="70"/>
    <n v="70"/>
  </r>
  <r>
    <x v="4"/>
    <d v="2022-09-06T00:00:00"/>
    <s v="Bill"/>
    <s v="INV123560"/>
    <x v="46"/>
    <d v="2022-10-10T00:00:00"/>
    <n v="285"/>
    <x v="0"/>
    <n v="3698.79"/>
    <n v="3698.79"/>
  </r>
  <r>
    <x v="4"/>
    <d v="2022-09-15T00:00:00"/>
    <s v="Bill"/>
    <s v="INV125572"/>
    <x v="46"/>
    <d v="2022-10-10T00:00:00"/>
    <n v="285"/>
    <x v="0"/>
    <n v="306.35000000000002"/>
    <n v="306.35000000000002"/>
  </r>
  <r>
    <x v="4"/>
    <d v="2022-10-11T00:00:00"/>
    <s v="Bill"/>
    <n v="661968"/>
    <x v="47"/>
    <d v="2022-10-11T00:00:00"/>
    <n v="284"/>
    <x v="0"/>
    <n v="4270"/>
    <n v="4270"/>
  </r>
  <r>
    <x v="4"/>
    <d v="2022-10-11T00:00:00"/>
    <s v="Bill"/>
    <n v="661969"/>
    <x v="47"/>
    <d v="2022-10-11T00:00:00"/>
    <n v="284"/>
    <x v="0"/>
    <n v="4270"/>
    <n v="4270"/>
  </r>
  <r>
    <x v="4"/>
    <d v="2022-10-18T00:00:00"/>
    <s v="Bill"/>
    <n v="36746549"/>
    <x v="48"/>
    <d v="2022-10-18T00:00:00"/>
    <n v="277"/>
    <x v="0"/>
    <n v="3467.25"/>
    <n v="3467.25"/>
  </r>
  <r>
    <x v="4"/>
    <d v="2022-10-18T00:00:00"/>
    <s v="Bill"/>
    <n v="624549"/>
    <x v="14"/>
    <d v="2022-10-18T00:00:00"/>
    <n v="277"/>
    <x v="0"/>
    <n v="750"/>
    <n v="750"/>
  </r>
  <r>
    <x v="4"/>
    <d v="2022-10-20T00:00:00"/>
    <s v="Bill"/>
    <n v="105887"/>
    <x v="17"/>
    <d v="2022-10-20T00:00:00"/>
    <n v="275"/>
    <x v="0"/>
    <n v="300"/>
    <n v="300"/>
  </r>
  <r>
    <x v="4"/>
    <d v="2022-10-20T00:00:00"/>
    <s v="Bill"/>
    <n v="105888"/>
    <x v="17"/>
    <d v="2022-10-20T00:00:00"/>
    <n v="275"/>
    <x v="0"/>
    <n v="300"/>
    <n v="300"/>
  </r>
  <r>
    <x v="4"/>
    <d v="2022-10-20T00:00:00"/>
    <s v="Bill"/>
    <n v="105889"/>
    <x v="17"/>
    <d v="2022-10-20T00:00:00"/>
    <n v="275"/>
    <x v="0"/>
    <n v="300"/>
    <n v="300"/>
  </r>
  <r>
    <x v="4"/>
    <d v="2022-10-20T00:00:00"/>
    <s v="Bill"/>
    <n v="105890"/>
    <x v="17"/>
    <d v="2022-10-20T00:00:00"/>
    <n v="275"/>
    <x v="0"/>
    <n v="300"/>
    <n v="300"/>
  </r>
  <r>
    <x v="4"/>
    <d v="2022-10-20T00:00:00"/>
    <s v="Bill"/>
    <n v="105891"/>
    <x v="17"/>
    <d v="2022-10-20T00:00:00"/>
    <n v="275"/>
    <x v="0"/>
    <n v="300"/>
    <n v="300"/>
  </r>
  <r>
    <x v="4"/>
    <d v="2022-10-21T00:00:00"/>
    <s v="Bill"/>
    <n v="36748384"/>
    <x v="48"/>
    <d v="2022-10-21T00:00:00"/>
    <n v="274"/>
    <x v="0"/>
    <n v="2286.75"/>
    <n v="2286.75"/>
  </r>
  <r>
    <x v="4"/>
    <d v="2022-10-21T00:00:00"/>
    <s v="Bill"/>
    <n v="36748385"/>
    <x v="48"/>
    <d v="2022-10-21T00:00:00"/>
    <n v="274"/>
    <x v="0"/>
    <n v="1977.3"/>
    <n v="1977.3"/>
  </r>
  <r>
    <x v="4"/>
    <d v="2022-10-24T00:00:00"/>
    <s v="Bill"/>
    <n v="36748967"/>
    <x v="48"/>
    <d v="2022-10-24T00:00:00"/>
    <n v="271"/>
    <x v="0"/>
    <n v="10280"/>
    <n v="10280"/>
  </r>
  <r>
    <x v="4"/>
    <d v="2022-10-28T00:00:00"/>
    <s v="Bill"/>
    <n v="59131"/>
    <x v="21"/>
    <d v="2022-10-28T00:00:00"/>
    <n v="267"/>
    <x v="0"/>
    <n v="182.88"/>
    <n v="182.88"/>
  </r>
  <r>
    <x v="4"/>
    <d v="2022-10-29T00:00:00"/>
    <s v="Bill"/>
    <n v="41930"/>
    <x v="0"/>
    <d v="2022-10-29T00:00:00"/>
    <n v="266"/>
    <x v="0"/>
    <n v="375"/>
    <n v="375"/>
  </r>
  <r>
    <x v="4"/>
    <d v="2022-10-29T00:00:00"/>
    <s v="Bill"/>
    <n v="43085"/>
    <x v="0"/>
    <d v="2022-10-29T00:00:00"/>
    <n v="266"/>
    <x v="0"/>
    <n v="300"/>
    <n v="300"/>
  </r>
  <r>
    <x v="4"/>
    <d v="2022-10-31T00:00:00"/>
    <s v="Bill"/>
    <n v="106831"/>
    <x v="17"/>
    <d v="2022-10-31T00:00:00"/>
    <n v="264"/>
    <x v="0"/>
    <n v="5793.6"/>
    <n v="5793.6"/>
  </r>
  <r>
    <x v="4"/>
    <d v="2022-10-31T00:00:00"/>
    <s v="Bill"/>
    <n v="667484"/>
    <x v="47"/>
    <d v="2022-10-31T00:00:00"/>
    <n v="264"/>
    <x v="0"/>
    <n v="3660"/>
    <n v="3660"/>
  </r>
  <r>
    <x v="4"/>
    <d v="2022-10-31T00:00:00"/>
    <s v="Bill"/>
    <n v="36754264"/>
    <x v="48"/>
    <d v="2022-10-31T00:00:00"/>
    <n v="264"/>
    <x v="0"/>
    <n v="893"/>
    <n v="893"/>
  </r>
  <r>
    <x v="4"/>
    <d v="2022-10-31T00:00:00"/>
    <s v="Bill"/>
    <n v="667471"/>
    <x v="47"/>
    <d v="2022-10-31T00:00:00"/>
    <n v="264"/>
    <x v="0"/>
    <n v="325"/>
    <n v="325"/>
  </r>
  <r>
    <x v="4"/>
    <d v="2022-10-31T00:00:00"/>
    <s v="Bill"/>
    <n v="667473"/>
    <x v="47"/>
    <d v="2022-10-31T00:00:00"/>
    <n v="264"/>
    <x v="0"/>
    <n v="325"/>
    <n v="325"/>
  </r>
  <r>
    <x v="4"/>
    <d v="2022-11-02T00:00:00"/>
    <s v="Bill"/>
    <n v="3003"/>
    <x v="20"/>
    <d v="2022-11-02T00:00:00"/>
    <n v="262"/>
    <x v="0"/>
    <n v="930.5"/>
    <n v="930.5"/>
  </r>
  <r>
    <x v="4"/>
    <d v="2022-11-04T00:00:00"/>
    <s v="Bill"/>
    <n v="106833"/>
    <x v="17"/>
    <d v="2022-11-04T00:00:00"/>
    <n v="260"/>
    <x v="0"/>
    <n v="5793.6"/>
    <n v="5793.6"/>
  </r>
  <r>
    <x v="4"/>
    <d v="2022-11-04T00:00:00"/>
    <s v="Bill"/>
    <n v="106835"/>
    <x v="17"/>
    <d v="2022-11-04T00:00:00"/>
    <n v="260"/>
    <x v="0"/>
    <n v="5793.6"/>
    <n v="5793.6"/>
  </r>
  <r>
    <x v="4"/>
    <d v="2022-11-04T00:00:00"/>
    <s v="Bill"/>
    <n v="106849"/>
    <x v="17"/>
    <d v="2022-11-04T00:00:00"/>
    <n v="260"/>
    <x v="0"/>
    <n v="5793.6"/>
    <n v="5793.6"/>
  </r>
  <r>
    <x v="4"/>
    <d v="2022-11-04T00:00:00"/>
    <s v="Bill"/>
    <n v="106837"/>
    <x v="17"/>
    <d v="2022-11-04T00:00:00"/>
    <n v="260"/>
    <x v="0"/>
    <n v="5793.6"/>
    <n v="5793.6"/>
  </r>
  <r>
    <x v="4"/>
    <d v="2022-11-04T00:00:00"/>
    <s v="Bill"/>
    <n v="667470"/>
    <x v="47"/>
    <d v="2022-11-04T00:00:00"/>
    <n v="260"/>
    <x v="0"/>
    <n v="325"/>
    <n v="325"/>
  </r>
  <r>
    <x v="4"/>
    <d v="2022-11-04T00:00:00"/>
    <s v="Bill"/>
    <n v="106851"/>
    <x v="17"/>
    <d v="2022-11-04T00:00:00"/>
    <n v="260"/>
    <x v="0"/>
    <n v="111.6"/>
    <n v="111.6"/>
  </r>
  <r>
    <x v="4"/>
    <d v="2022-11-04T00:00:00"/>
    <s v="Bill"/>
    <n v="106832"/>
    <x v="17"/>
    <d v="2022-11-04T00:00:00"/>
    <n v="260"/>
    <x v="0"/>
    <n v="84"/>
    <n v="84"/>
  </r>
  <r>
    <x v="4"/>
    <d v="2022-11-04T00:00:00"/>
    <s v="Bill"/>
    <n v="106834"/>
    <x v="17"/>
    <d v="2022-11-04T00:00:00"/>
    <n v="260"/>
    <x v="0"/>
    <n v="84"/>
    <n v="84"/>
  </r>
  <r>
    <x v="4"/>
    <d v="2022-11-04T00:00:00"/>
    <s v="Bill"/>
    <n v="106836"/>
    <x v="17"/>
    <d v="2022-11-04T00:00:00"/>
    <n v="260"/>
    <x v="0"/>
    <n v="84"/>
    <n v="84"/>
  </r>
  <r>
    <x v="4"/>
    <d v="2022-11-04T00:00:00"/>
    <s v="Bill"/>
    <n v="106838"/>
    <x v="17"/>
    <d v="2022-11-04T00:00:00"/>
    <n v="260"/>
    <x v="0"/>
    <n v="84"/>
    <n v="84"/>
  </r>
  <r>
    <x v="4"/>
    <d v="2022-11-04T00:00:00"/>
    <s v="Bill"/>
    <n v="106850"/>
    <x v="17"/>
    <d v="2022-11-04T00:00:00"/>
    <n v="260"/>
    <x v="0"/>
    <n v="84"/>
    <n v="84"/>
  </r>
  <r>
    <x v="4"/>
    <d v="2022-11-08T00:00:00"/>
    <s v="Bill"/>
    <n v="106956"/>
    <x v="17"/>
    <d v="2022-11-08T00:00:00"/>
    <n v="256"/>
    <x v="0"/>
    <n v="5905.2"/>
    <n v="5905.2"/>
  </r>
  <r>
    <x v="4"/>
    <d v="2022-11-08T00:00:00"/>
    <s v="Bill"/>
    <n v="106957"/>
    <x v="17"/>
    <d v="2022-11-08T00:00:00"/>
    <n v="256"/>
    <x v="0"/>
    <n v="84"/>
    <n v="84"/>
  </r>
  <r>
    <x v="4"/>
    <d v="2022-10-25T00:00:00"/>
    <s v="Bill"/>
    <s v="INV-MP3326"/>
    <x v="49"/>
    <d v="2022-11-09T00:00:00"/>
    <n v="255"/>
    <x v="0"/>
    <n v="265"/>
    <n v="265"/>
  </r>
  <r>
    <x v="4"/>
    <d v="2022-11-09T00:00:00"/>
    <s v="Bill"/>
    <n v="36758569"/>
    <x v="48"/>
    <d v="2022-11-09T00:00:00"/>
    <n v="255"/>
    <x v="0"/>
    <n v="2089"/>
    <n v="2089"/>
  </r>
  <r>
    <x v="4"/>
    <d v="2022-11-09T00:00:00"/>
    <s v="Bill"/>
    <n v="36758567"/>
    <x v="48"/>
    <d v="2022-11-09T00:00:00"/>
    <n v="255"/>
    <x v="0"/>
    <n v="2013.25"/>
    <n v="2013.25"/>
  </r>
  <r>
    <x v="4"/>
    <d v="2022-11-09T00:00:00"/>
    <s v="Bill"/>
    <n v="36758568"/>
    <x v="48"/>
    <d v="2022-11-09T00:00:00"/>
    <n v="255"/>
    <x v="0"/>
    <n v="1977.3"/>
    <n v="1977.3"/>
  </r>
  <r>
    <x v="4"/>
    <d v="2022-11-09T00:00:00"/>
    <s v="Bill"/>
    <n v="36758570"/>
    <x v="48"/>
    <d v="2022-11-09T00:00:00"/>
    <n v="255"/>
    <x v="0"/>
    <n v="1350.05"/>
    <n v="1350.05"/>
  </r>
  <r>
    <x v="4"/>
    <d v="2022-11-09T00:00:00"/>
    <s v="Bill"/>
    <s v="AC899750"/>
    <x v="9"/>
    <d v="2022-11-09T00:00:00"/>
    <n v="255"/>
    <x v="0"/>
    <n v="500"/>
    <n v="500"/>
  </r>
  <r>
    <x v="4"/>
    <d v="2022-10-11T00:00:00"/>
    <s v="Bill"/>
    <n v="91135"/>
    <x v="10"/>
    <d v="2022-11-10T00:00:00"/>
    <n v="254"/>
    <x v="0"/>
    <n v="147.44"/>
    <n v="147.44"/>
  </r>
  <r>
    <x v="4"/>
    <d v="2022-10-11T00:00:00"/>
    <s v="Bill"/>
    <n v="91136"/>
    <x v="10"/>
    <d v="2022-11-10T00:00:00"/>
    <n v="254"/>
    <x v="0"/>
    <n v="147.44"/>
    <n v="147.44"/>
  </r>
  <r>
    <x v="4"/>
    <d v="2022-10-11T00:00:00"/>
    <s v="Bill"/>
    <n v="91138"/>
    <x v="10"/>
    <d v="2022-11-10T00:00:00"/>
    <n v="254"/>
    <x v="0"/>
    <n v="147.44"/>
    <n v="147.44"/>
  </r>
  <r>
    <x v="4"/>
    <d v="2022-11-10T00:00:00"/>
    <s v="Bill"/>
    <s v="12619236RI(Paid viaCC"/>
    <x v="50"/>
    <d v="2022-11-10T00:00:00"/>
    <n v="254"/>
    <x v="0"/>
    <n v="10923.61"/>
    <n v="10923.61"/>
  </r>
  <r>
    <x v="4"/>
    <d v="2022-11-12T00:00:00"/>
    <s v="Bill"/>
    <n v="36759552"/>
    <x v="48"/>
    <d v="2022-11-12T00:00:00"/>
    <n v="252"/>
    <x v="0"/>
    <n v="1959.3"/>
    <n v="1959.3"/>
  </r>
  <r>
    <x v="4"/>
    <d v="2022-11-15T00:00:00"/>
    <s v="Bill"/>
    <n v="3103716"/>
    <x v="44"/>
    <d v="2022-11-15T00:00:00"/>
    <n v="249"/>
    <x v="0"/>
    <n v="6550"/>
    <n v="6550"/>
  </r>
  <r>
    <x v="4"/>
    <d v="2022-11-15T00:00:00"/>
    <s v="Bill"/>
    <n v="670862"/>
    <x v="47"/>
    <d v="2022-11-15T00:00:00"/>
    <n v="249"/>
    <x v="0"/>
    <n v="5680"/>
    <n v="5680"/>
  </r>
  <r>
    <x v="4"/>
    <d v="2022-11-15T00:00:00"/>
    <s v="Bill"/>
    <n v="670866"/>
    <x v="47"/>
    <d v="2022-11-15T00:00:00"/>
    <n v="249"/>
    <x v="0"/>
    <n v="5680"/>
    <n v="5680"/>
  </r>
  <r>
    <x v="4"/>
    <d v="2022-11-15T00:00:00"/>
    <s v="Bill"/>
    <n v="88199"/>
    <x v="51"/>
    <d v="2022-11-15T00:00:00"/>
    <n v="249"/>
    <x v="0"/>
    <n v="5364.6"/>
    <n v="2937.4"/>
  </r>
  <r>
    <x v="4"/>
    <d v="2022-11-15T00:00:00"/>
    <s v="Bill"/>
    <n v="108337"/>
    <x v="17"/>
    <d v="2022-11-15T00:00:00"/>
    <n v="249"/>
    <x v="0"/>
    <n v="3936.8"/>
    <n v="3936.8"/>
  </r>
  <r>
    <x v="4"/>
    <d v="2022-11-15T00:00:00"/>
    <s v="Bill"/>
    <n v="108338"/>
    <x v="17"/>
    <d v="2022-11-15T00:00:00"/>
    <n v="249"/>
    <x v="0"/>
    <n v="3862.4"/>
    <n v="3862.4"/>
  </r>
  <r>
    <x v="4"/>
    <d v="2022-11-15T00:00:00"/>
    <s v="Bill"/>
    <n v="108339"/>
    <x v="17"/>
    <d v="2022-11-15T00:00:00"/>
    <n v="249"/>
    <x v="0"/>
    <n v="3862.4"/>
    <n v="3862.4"/>
  </r>
  <r>
    <x v="4"/>
    <d v="2022-11-15T00:00:00"/>
    <s v="Bill"/>
    <n v="108340"/>
    <x v="17"/>
    <d v="2022-11-15T00:00:00"/>
    <n v="249"/>
    <x v="0"/>
    <n v="3862.4"/>
    <n v="3862.4"/>
  </r>
  <r>
    <x v="4"/>
    <d v="2022-11-15T00:00:00"/>
    <s v="Bill"/>
    <n v="670864"/>
    <x v="47"/>
    <d v="2022-11-15T00:00:00"/>
    <n v="249"/>
    <x v="0"/>
    <n v="350"/>
    <n v="350"/>
  </r>
  <r>
    <x v="4"/>
    <d v="2022-11-15T00:00:00"/>
    <s v="Bill"/>
    <n v="670867"/>
    <x v="47"/>
    <d v="2022-11-15T00:00:00"/>
    <n v="249"/>
    <x v="0"/>
    <n v="350"/>
    <n v="350"/>
  </r>
  <r>
    <x v="4"/>
    <d v="2022-11-16T00:00:00"/>
    <s v="Bill"/>
    <n v="3091125"/>
    <x v="44"/>
    <d v="2022-11-16T00:00:00"/>
    <n v="248"/>
    <x v="0"/>
    <n v="190"/>
    <n v="190"/>
  </r>
  <r>
    <x v="4"/>
    <d v="2022-11-16T00:00:00"/>
    <s v="Bill"/>
    <n v="89088017"/>
    <x v="52"/>
    <d v="2022-11-16T00:00:00"/>
    <n v="248"/>
    <x v="0"/>
    <n v="97.37"/>
    <n v="97.37"/>
  </r>
  <r>
    <x v="4"/>
    <d v="2022-11-17T00:00:00"/>
    <s v="Bill"/>
    <n v="36762463"/>
    <x v="48"/>
    <d v="2022-11-17T00:00:00"/>
    <n v="247"/>
    <x v="0"/>
    <n v="2491"/>
    <n v="2491"/>
  </r>
  <r>
    <x v="4"/>
    <d v="2022-11-17T00:00:00"/>
    <s v="Bill"/>
    <n v="3105173"/>
    <x v="44"/>
    <d v="2022-11-17T00:00:00"/>
    <n v="247"/>
    <x v="0"/>
    <n v="125"/>
    <n v="125"/>
  </r>
  <r>
    <x v="4"/>
    <d v="2022-11-18T00:00:00"/>
    <s v="Bill"/>
    <n v="625866"/>
    <x v="14"/>
    <d v="2022-11-18T00:00:00"/>
    <n v="246"/>
    <x v="0"/>
    <n v="2405.5"/>
    <n v="2405.5"/>
  </r>
  <r>
    <x v="4"/>
    <d v="2022-11-18T00:00:00"/>
    <s v="Bill"/>
    <n v="625863"/>
    <x v="14"/>
    <d v="2022-11-18T00:00:00"/>
    <n v="246"/>
    <x v="0"/>
    <n v="2002.2"/>
    <n v="2002.2"/>
  </r>
  <r>
    <x v="4"/>
    <d v="2022-11-18T00:00:00"/>
    <s v="Bill"/>
    <n v="625864"/>
    <x v="14"/>
    <d v="2022-11-18T00:00:00"/>
    <n v="246"/>
    <x v="0"/>
    <n v="2002.2"/>
    <n v="2002.2"/>
  </r>
  <r>
    <x v="4"/>
    <d v="2022-11-18T00:00:00"/>
    <s v="Bill"/>
    <n v="625865"/>
    <x v="14"/>
    <d v="2022-11-18T00:00:00"/>
    <n v="246"/>
    <x v="0"/>
    <n v="2002.2"/>
    <n v="2002.2"/>
  </r>
  <r>
    <x v="4"/>
    <d v="2022-11-20T00:00:00"/>
    <s v="Bill"/>
    <n v="626693"/>
    <x v="14"/>
    <d v="2022-11-20T00:00:00"/>
    <n v="244"/>
    <x v="0"/>
    <n v="600"/>
    <n v="600"/>
  </r>
  <r>
    <x v="4"/>
    <d v="2022-11-22T00:00:00"/>
    <s v="Bill"/>
    <n v="36764712"/>
    <x v="48"/>
    <d v="2022-11-22T00:00:00"/>
    <n v="242"/>
    <x v="0"/>
    <n v="459.68"/>
    <n v="459.68"/>
  </r>
  <r>
    <x v="4"/>
    <d v="2022-11-23T00:00:00"/>
    <s v="Bill"/>
    <n v="672344"/>
    <x v="47"/>
    <d v="2022-11-23T00:00:00"/>
    <n v="241"/>
    <x v="0"/>
    <n v="200"/>
    <n v="200"/>
  </r>
  <r>
    <x v="4"/>
    <d v="2022-10-28T00:00:00"/>
    <s v="Bill"/>
    <n v="10123726"/>
    <x v="53"/>
    <d v="2022-11-27T00:00:00"/>
    <n v="237"/>
    <x v="0"/>
    <n v="1100"/>
    <n v="1100"/>
  </r>
  <r>
    <x v="4"/>
    <d v="2022-10-28T00:00:00"/>
    <s v="Bill"/>
    <n v="10123727"/>
    <x v="53"/>
    <d v="2022-11-27T00:00:00"/>
    <n v="237"/>
    <x v="0"/>
    <n v="1100"/>
    <n v="1100"/>
  </r>
  <r>
    <x v="4"/>
    <d v="2022-10-28T00:00:00"/>
    <s v="Bill"/>
    <n v="10123728"/>
    <x v="53"/>
    <d v="2022-11-27T00:00:00"/>
    <n v="237"/>
    <x v="0"/>
    <n v="1100"/>
    <n v="1100"/>
  </r>
  <r>
    <x v="4"/>
    <d v="2022-10-28T00:00:00"/>
    <s v="Bill"/>
    <n v="10123740"/>
    <x v="53"/>
    <d v="2022-11-27T00:00:00"/>
    <n v="237"/>
    <x v="0"/>
    <n v="1100"/>
    <n v="1100"/>
  </r>
  <r>
    <x v="4"/>
    <d v="2022-10-28T00:00:00"/>
    <s v="Bill"/>
    <n v="10123725"/>
    <x v="53"/>
    <d v="2022-11-27T00:00:00"/>
    <n v="237"/>
    <x v="0"/>
    <n v="1100"/>
    <n v="1100"/>
  </r>
  <r>
    <x v="4"/>
    <d v="2022-11-28T00:00:00"/>
    <s v="Bill"/>
    <n v="36766016"/>
    <x v="48"/>
    <d v="2022-11-28T00:00:00"/>
    <n v="236"/>
    <x v="0"/>
    <n v="9100"/>
    <n v="9100"/>
  </r>
  <r>
    <x v="4"/>
    <d v="2022-11-28T00:00:00"/>
    <s v="Bill"/>
    <n v="36766017"/>
    <x v="48"/>
    <d v="2022-11-28T00:00:00"/>
    <n v="236"/>
    <x v="0"/>
    <n v="7446"/>
    <n v="7446"/>
  </r>
  <r>
    <x v="4"/>
    <d v="2022-11-29T00:00:00"/>
    <s v="Bill"/>
    <n v="36767240"/>
    <x v="48"/>
    <d v="2022-11-29T00:00:00"/>
    <n v="235"/>
    <x v="0"/>
    <n v="9851"/>
    <n v="9851"/>
  </r>
  <r>
    <x v="4"/>
    <d v="2022-11-29T00:00:00"/>
    <s v="Bill"/>
    <n v="672994"/>
    <x v="47"/>
    <d v="2022-11-29T00:00:00"/>
    <n v="235"/>
    <x v="0"/>
    <n v="3660"/>
    <n v="3660"/>
  </r>
  <r>
    <x v="4"/>
    <d v="2022-11-29T00:00:00"/>
    <s v="Bill"/>
    <n v="672995"/>
    <x v="47"/>
    <d v="2022-11-29T00:00:00"/>
    <n v="235"/>
    <x v="0"/>
    <n v="3660"/>
    <n v="3660"/>
  </r>
  <r>
    <x v="4"/>
    <d v="2022-11-29T00:00:00"/>
    <s v="Bill"/>
    <n v="672996"/>
    <x v="47"/>
    <d v="2022-11-29T00:00:00"/>
    <n v="235"/>
    <x v="0"/>
    <n v="3660"/>
    <n v="3660"/>
  </r>
  <r>
    <x v="4"/>
    <d v="2022-11-29T00:00:00"/>
    <s v="Bill"/>
    <n v="672997"/>
    <x v="47"/>
    <d v="2022-11-29T00:00:00"/>
    <n v="235"/>
    <x v="0"/>
    <n v="3660"/>
    <n v="3660"/>
  </r>
  <r>
    <x v="4"/>
    <d v="2022-11-29T00:00:00"/>
    <s v="Bill"/>
    <n v="36767241"/>
    <x v="48"/>
    <d v="2022-11-29T00:00:00"/>
    <n v="235"/>
    <x v="0"/>
    <n v="2782.5"/>
    <n v="2782.5"/>
  </r>
  <r>
    <x v="4"/>
    <d v="2022-11-29T00:00:00"/>
    <s v="Bill"/>
    <n v="36767242"/>
    <x v="48"/>
    <d v="2022-11-29T00:00:00"/>
    <n v="235"/>
    <x v="0"/>
    <n v="1508.1"/>
    <n v="1508.1"/>
  </r>
  <r>
    <x v="4"/>
    <d v="2022-11-29T00:00:00"/>
    <s v="Bill"/>
    <n v="36767243"/>
    <x v="48"/>
    <d v="2022-11-29T00:00:00"/>
    <n v="235"/>
    <x v="0"/>
    <n v="1422.45"/>
    <n v="1422.45"/>
  </r>
  <r>
    <x v="4"/>
    <d v="2022-12-01T00:00:00"/>
    <s v="Bill"/>
    <n v="631720"/>
    <x v="14"/>
    <d v="2022-12-01T00:00:00"/>
    <n v="233"/>
    <x v="0"/>
    <n v="3766.26"/>
    <n v="3766.26"/>
  </r>
  <r>
    <x v="4"/>
    <d v="2022-12-01T00:00:00"/>
    <s v="Bill"/>
    <n v="631724"/>
    <x v="14"/>
    <d v="2022-12-01T00:00:00"/>
    <n v="233"/>
    <x v="0"/>
    <n v="3162.74"/>
    <n v="3162.74"/>
  </r>
  <r>
    <x v="4"/>
    <d v="2022-12-01T00:00:00"/>
    <s v="Bill"/>
    <n v="631700"/>
    <x v="14"/>
    <d v="2022-12-01T00:00:00"/>
    <n v="233"/>
    <x v="0"/>
    <n v="579.5"/>
    <n v="579.5"/>
  </r>
  <r>
    <x v="4"/>
    <d v="2022-12-01T00:00:00"/>
    <s v="Bill"/>
    <n v="631708"/>
    <x v="14"/>
    <d v="2022-12-01T00:00:00"/>
    <n v="233"/>
    <x v="0"/>
    <n v="579.5"/>
    <n v="579.5"/>
  </r>
  <r>
    <x v="4"/>
    <d v="2022-12-01T00:00:00"/>
    <s v="Bill"/>
    <n v="631718"/>
    <x v="14"/>
    <d v="2022-12-01T00:00:00"/>
    <n v="233"/>
    <x v="0"/>
    <n v="579.5"/>
    <n v="579.5"/>
  </r>
  <r>
    <x v="4"/>
    <d v="2022-12-01T00:00:00"/>
    <s v="Bill"/>
    <n v="631701"/>
    <x v="14"/>
    <d v="2022-12-01T00:00:00"/>
    <n v="233"/>
    <x v="0"/>
    <n v="510.81"/>
    <n v="510.81"/>
  </r>
  <r>
    <x v="4"/>
    <d v="2022-12-01T00:00:00"/>
    <s v="Bill"/>
    <n v="631705"/>
    <x v="14"/>
    <d v="2022-12-01T00:00:00"/>
    <n v="233"/>
    <x v="0"/>
    <n v="510.81"/>
    <n v="510.81"/>
  </r>
  <r>
    <x v="4"/>
    <d v="2022-12-01T00:00:00"/>
    <s v="Bill"/>
    <n v="631703"/>
    <x v="14"/>
    <d v="2022-12-01T00:00:00"/>
    <n v="233"/>
    <x v="0"/>
    <n v="510.43"/>
    <n v="510.43"/>
  </r>
  <r>
    <x v="4"/>
    <d v="2022-12-01T00:00:00"/>
    <s v="Bill"/>
    <n v="631704"/>
    <x v="14"/>
    <d v="2022-12-01T00:00:00"/>
    <n v="233"/>
    <x v="0"/>
    <n v="510.43"/>
    <n v="510.43"/>
  </r>
  <r>
    <x v="4"/>
    <d v="2022-12-01T00:00:00"/>
    <s v="Bill"/>
    <n v="631715"/>
    <x v="14"/>
    <d v="2022-12-01T00:00:00"/>
    <n v="233"/>
    <x v="0"/>
    <n v="510.43"/>
    <n v="510.43"/>
  </r>
  <r>
    <x v="4"/>
    <d v="2022-12-07T00:00:00"/>
    <s v="Bill"/>
    <n v="675206"/>
    <x v="47"/>
    <d v="2022-12-07T00:00:00"/>
    <n v="227"/>
    <x v="0"/>
    <n v="1274"/>
    <n v="1274"/>
  </r>
  <r>
    <x v="4"/>
    <d v="2022-12-07T00:00:00"/>
    <s v="Bill"/>
    <n v="675147"/>
    <x v="47"/>
    <d v="2022-12-07T00:00:00"/>
    <n v="227"/>
    <x v="0"/>
    <n v="1274"/>
    <n v="1274"/>
  </r>
  <r>
    <x v="4"/>
    <d v="2022-12-08T00:00:00"/>
    <s v="Bill"/>
    <n v="36772410"/>
    <x v="48"/>
    <d v="2022-12-08T00:00:00"/>
    <n v="226"/>
    <x v="0"/>
    <n v="1908"/>
    <n v="1908"/>
  </r>
  <r>
    <x v="4"/>
    <d v="2022-11-09T00:00:00"/>
    <s v="Bill"/>
    <n v="3008"/>
    <x v="20"/>
    <d v="2022-12-09T00:00:00"/>
    <n v="225"/>
    <x v="0"/>
    <n v="930.5"/>
    <n v="930.5"/>
  </r>
  <r>
    <x v="4"/>
    <d v="2022-11-09T00:00:00"/>
    <s v="Bill"/>
    <n v="10138073"/>
    <x v="53"/>
    <d v="2022-12-09T00:00:00"/>
    <n v="225"/>
    <x v="0"/>
    <n v="345"/>
    <n v="345"/>
  </r>
  <r>
    <x v="4"/>
    <d v="2022-12-12T00:00:00"/>
    <s v="Bill"/>
    <n v="36778438"/>
    <x v="48"/>
    <d v="2022-12-12T00:00:00"/>
    <n v="222"/>
    <x v="0"/>
    <n v="1067.5"/>
    <n v="1067.5"/>
  </r>
  <r>
    <x v="4"/>
    <d v="2022-12-12T00:00:00"/>
    <s v="Bill"/>
    <n v="628961"/>
    <x v="14"/>
    <d v="2022-12-12T00:00:00"/>
    <n v="222"/>
    <x v="0"/>
    <n v="1000"/>
    <n v="1000"/>
  </r>
  <r>
    <x v="4"/>
    <d v="2022-12-12T00:00:00"/>
    <s v="Bill"/>
    <n v="695662"/>
    <x v="54"/>
    <d v="2022-12-12T00:00:00"/>
    <n v="222"/>
    <x v="0"/>
    <n v="400"/>
    <n v="400"/>
  </r>
  <r>
    <x v="4"/>
    <d v="2022-12-12T00:00:00"/>
    <s v="Bill"/>
    <n v="695664"/>
    <x v="54"/>
    <d v="2022-12-12T00:00:00"/>
    <n v="222"/>
    <x v="0"/>
    <n v="200"/>
    <n v="200"/>
  </r>
  <r>
    <x v="4"/>
    <d v="2022-12-13T00:00:00"/>
    <s v="Bill"/>
    <n v="89680294"/>
    <x v="52"/>
    <d v="2022-12-13T00:00:00"/>
    <n v="221"/>
    <x v="0"/>
    <n v="302.64"/>
    <n v="302.64"/>
  </r>
  <r>
    <x v="4"/>
    <d v="2022-12-13T00:00:00"/>
    <s v="Bill"/>
    <n v="89680200"/>
    <x v="52"/>
    <d v="2022-12-13T00:00:00"/>
    <n v="221"/>
    <x v="0"/>
    <n v="302.64"/>
    <n v="302.64"/>
  </r>
  <r>
    <x v="4"/>
    <d v="2022-12-13T00:00:00"/>
    <s v="Bill"/>
    <n v="89680286"/>
    <x v="52"/>
    <d v="2022-12-13T00:00:00"/>
    <n v="221"/>
    <x v="0"/>
    <n v="302.64"/>
    <n v="302.64"/>
  </r>
  <r>
    <x v="4"/>
    <d v="2022-12-13T00:00:00"/>
    <s v="Bill"/>
    <n v="89680215"/>
    <x v="52"/>
    <d v="2022-12-13T00:00:00"/>
    <n v="221"/>
    <x v="0"/>
    <n v="302.64"/>
    <n v="302.64"/>
  </r>
  <r>
    <x v="4"/>
    <d v="2022-12-13T00:00:00"/>
    <s v="Bill"/>
    <n v="89680263"/>
    <x v="52"/>
    <d v="2022-12-13T00:00:00"/>
    <n v="221"/>
    <x v="0"/>
    <n v="302.64"/>
    <n v="302.64"/>
  </r>
  <r>
    <x v="4"/>
    <d v="2022-12-13T00:00:00"/>
    <s v="Bill"/>
    <n v="89680219"/>
    <x v="52"/>
    <d v="2022-12-13T00:00:00"/>
    <n v="221"/>
    <x v="0"/>
    <n v="302.64"/>
    <n v="302.64"/>
  </r>
  <r>
    <x v="4"/>
    <d v="2022-12-13T00:00:00"/>
    <s v="Bill"/>
    <n v="89680189"/>
    <x v="52"/>
    <d v="2022-12-13T00:00:00"/>
    <n v="221"/>
    <x v="0"/>
    <n v="150"/>
    <n v="150"/>
  </r>
  <r>
    <x v="4"/>
    <d v="2022-12-13T00:00:00"/>
    <s v="Bill"/>
    <n v="89680292"/>
    <x v="52"/>
    <d v="2022-12-13T00:00:00"/>
    <n v="221"/>
    <x v="0"/>
    <n v="150"/>
    <n v="150"/>
  </r>
  <r>
    <x v="4"/>
    <d v="2022-12-13T00:00:00"/>
    <s v="Bill"/>
    <n v="89680210"/>
    <x v="52"/>
    <d v="2022-12-13T00:00:00"/>
    <n v="221"/>
    <x v="0"/>
    <n v="150"/>
    <n v="150"/>
  </r>
  <r>
    <x v="4"/>
    <d v="2022-12-13T00:00:00"/>
    <s v="Bill"/>
    <n v="89680265"/>
    <x v="52"/>
    <d v="2022-12-13T00:00:00"/>
    <n v="221"/>
    <x v="0"/>
    <n v="150"/>
    <n v="150"/>
  </r>
  <r>
    <x v="4"/>
    <d v="2022-12-13T00:00:00"/>
    <s v="Bill"/>
    <n v="89680260"/>
    <x v="52"/>
    <d v="2022-12-13T00:00:00"/>
    <n v="221"/>
    <x v="0"/>
    <n v="150"/>
    <n v="150"/>
  </r>
  <r>
    <x v="4"/>
    <d v="2022-12-13T00:00:00"/>
    <s v="Bill"/>
    <n v="89680216"/>
    <x v="52"/>
    <d v="2022-12-13T00:00:00"/>
    <n v="221"/>
    <x v="0"/>
    <n v="150"/>
    <n v="150"/>
  </r>
  <r>
    <x v="4"/>
    <d v="2022-12-14T00:00:00"/>
    <s v="Bill"/>
    <s v="C300433"/>
    <x v="55"/>
    <d v="2022-12-14T00:00:00"/>
    <n v="220"/>
    <x v="0"/>
    <n v="3602.7"/>
    <n v="3602.7"/>
  </r>
  <r>
    <x v="4"/>
    <d v="2022-12-14T00:00:00"/>
    <s v="Bill"/>
    <s v="C300432"/>
    <x v="55"/>
    <d v="2022-12-14T00:00:00"/>
    <n v="220"/>
    <x v="0"/>
    <n v="3586.38"/>
    <n v="3586.38"/>
  </r>
  <r>
    <x v="4"/>
    <d v="2022-12-14T00:00:00"/>
    <s v="Bill"/>
    <s v="C300435"/>
    <x v="55"/>
    <d v="2022-12-14T00:00:00"/>
    <n v="220"/>
    <x v="0"/>
    <n v="3521.33"/>
    <n v="3521.33"/>
  </r>
  <r>
    <x v="4"/>
    <d v="2022-12-14T00:00:00"/>
    <s v="Bill"/>
    <s v="C300434"/>
    <x v="55"/>
    <d v="2022-12-14T00:00:00"/>
    <n v="220"/>
    <x v="0"/>
    <n v="3516.87"/>
    <n v="3516.87"/>
  </r>
  <r>
    <x v="4"/>
    <d v="2022-12-15T00:00:00"/>
    <s v="Bill"/>
    <s v="INV#139919"/>
    <x v="46"/>
    <d v="2022-12-15T00:00:00"/>
    <n v="219"/>
    <x v="0"/>
    <n v="420.88"/>
    <n v="420.88"/>
  </r>
  <r>
    <x v="4"/>
    <d v="2022-12-15T00:00:00"/>
    <s v="Bill"/>
    <s v="INV#139921"/>
    <x v="46"/>
    <d v="2022-12-15T00:00:00"/>
    <n v="219"/>
    <x v="0"/>
    <n v="420.88"/>
    <n v="420.88"/>
  </r>
  <r>
    <x v="4"/>
    <d v="2022-12-15T00:00:00"/>
    <s v="Bill"/>
    <s v="INV# 139922"/>
    <x v="46"/>
    <d v="2022-12-15T00:00:00"/>
    <n v="219"/>
    <x v="0"/>
    <n v="420.88"/>
    <n v="420.88"/>
  </r>
  <r>
    <x v="4"/>
    <d v="2022-12-15T00:00:00"/>
    <s v="Bill"/>
    <s v="INV#139923"/>
    <x v="46"/>
    <d v="2022-12-15T00:00:00"/>
    <n v="219"/>
    <x v="0"/>
    <n v="420.88"/>
    <n v="420.88"/>
  </r>
  <r>
    <x v="4"/>
    <d v="2022-12-15T00:00:00"/>
    <s v="Bill"/>
    <s v="INV# 139925"/>
    <x v="46"/>
    <d v="2022-12-15T00:00:00"/>
    <n v="219"/>
    <x v="0"/>
    <n v="420.88"/>
    <n v="420.88"/>
  </r>
  <r>
    <x v="4"/>
    <d v="2022-12-15T00:00:00"/>
    <s v="Bill"/>
    <s v="INV# 139927"/>
    <x v="46"/>
    <d v="2022-12-15T00:00:00"/>
    <n v="219"/>
    <x v="0"/>
    <n v="420.88"/>
    <n v="420.88"/>
  </r>
  <r>
    <x v="4"/>
    <d v="2022-12-01T00:00:00"/>
    <s v="Bill"/>
    <n v="26155"/>
    <x v="1"/>
    <d v="2022-12-16T00:00:00"/>
    <n v="218"/>
    <x v="0"/>
    <n v="300"/>
    <n v="300"/>
  </r>
  <r>
    <x v="4"/>
    <d v="2022-12-19T00:00:00"/>
    <s v="Bill"/>
    <n v="110902"/>
    <x v="17"/>
    <d v="2022-12-19T00:00:00"/>
    <n v="215"/>
    <x v="0"/>
    <n v="4643"/>
    <n v="4643"/>
  </r>
  <r>
    <x v="4"/>
    <d v="2022-12-19T00:00:00"/>
    <s v="Bill"/>
    <n v="36776854"/>
    <x v="48"/>
    <d v="2022-12-19T00:00:00"/>
    <n v="215"/>
    <x v="0"/>
    <n v="2289.2600000000002"/>
    <n v="2289.2600000000002"/>
  </r>
  <r>
    <x v="4"/>
    <d v="2022-12-19T00:00:00"/>
    <s v="Bill"/>
    <n v="36776830"/>
    <x v="48"/>
    <d v="2022-12-19T00:00:00"/>
    <n v="215"/>
    <x v="0"/>
    <n v="822.5"/>
    <n v="822.5"/>
  </r>
  <r>
    <x v="4"/>
    <d v="2022-12-19T00:00:00"/>
    <s v="Bill"/>
    <n v="110903"/>
    <x v="17"/>
    <d v="2022-12-19T00:00:00"/>
    <n v="215"/>
    <x v="0"/>
    <n v="250"/>
    <n v="250"/>
  </r>
  <r>
    <x v="4"/>
    <d v="2022-12-19T00:00:00"/>
    <s v="Bill"/>
    <n v="677170"/>
    <x v="47"/>
    <d v="2022-12-19T00:00:00"/>
    <n v="215"/>
    <x v="0"/>
    <n v="250"/>
    <n v="250"/>
  </r>
  <r>
    <x v="4"/>
    <d v="2022-12-19T00:00:00"/>
    <s v="Bill"/>
    <n v="677171"/>
    <x v="47"/>
    <d v="2022-12-19T00:00:00"/>
    <n v="215"/>
    <x v="0"/>
    <n v="250"/>
    <n v="250"/>
  </r>
  <r>
    <x v="4"/>
    <d v="2022-12-19T00:00:00"/>
    <s v="Bill"/>
    <n v="677172"/>
    <x v="47"/>
    <d v="2022-12-19T00:00:00"/>
    <n v="215"/>
    <x v="0"/>
    <n v="250"/>
    <n v="250"/>
  </r>
  <r>
    <x v="4"/>
    <d v="2022-12-19T00:00:00"/>
    <s v="Bill"/>
    <n v="36776829"/>
    <x v="48"/>
    <d v="2022-12-19T00:00:00"/>
    <n v="215"/>
    <x v="0"/>
    <n v="202"/>
    <n v="202"/>
  </r>
  <r>
    <x v="4"/>
    <d v="2022-12-19T00:00:00"/>
    <s v="Bill"/>
    <n v="677166"/>
    <x v="47"/>
    <d v="2022-12-19T00:00:00"/>
    <n v="215"/>
    <x v="0"/>
    <n v="200"/>
    <n v="200"/>
  </r>
  <r>
    <x v="4"/>
    <d v="2022-12-19T00:00:00"/>
    <s v="Bill"/>
    <n v="677167"/>
    <x v="47"/>
    <d v="2022-12-19T00:00:00"/>
    <n v="215"/>
    <x v="0"/>
    <n v="200"/>
    <n v="200"/>
  </r>
  <r>
    <x v="4"/>
    <d v="2022-12-19T00:00:00"/>
    <s v="Bill"/>
    <n v="677168"/>
    <x v="47"/>
    <d v="2022-12-19T00:00:00"/>
    <n v="215"/>
    <x v="0"/>
    <n v="200"/>
    <n v="200"/>
  </r>
  <r>
    <x v="4"/>
    <d v="2022-12-19T00:00:00"/>
    <s v="Bill"/>
    <n v="677169"/>
    <x v="47"/>
    <d v="2022-12-19T00:00:00"/>
    <n v="215"/>
    <x v="0"/>
    <n v="200"/>
    <n v="200"/>
  </r>
  <r>
    <x v="4"/>
    <d v="2022-12-19T00:00:00"/>
    <s v="Bill"/>
    <n v="36776831"/>
    <x v="48"/>
    <d v="2022-12-19T00:00:00"/>
    <n v="215"/>
    <x v="0"/>
    <n v="166"/>
    <n v="166"/>
  </r>
  <r>
    <x v="4"/>
    <d v="2022-12-20T00:00:00"/>
    <s v="Bill"/>
    <n v="629625"/>
    <x v="14"/>
    <d v="2022-12-20T00:00:00"/>
    <n v="214"/>
    <x v="0"/>
    <n v="950"/>
    <n v="950"/>
  </r>
  <r>
    <x v="4"/>
    <d v="2022-12-20T00:00:00"/>
    <s v="Bill"/>
    <s v="INV#140523"/>
    <x v="46"/>
    <d v="2022-12-20T00:00:00"/>
    <n v="214"/>
    <x v="0"/>
    <n v="650"/>
    <n v="650"/>
  </r>
  <r>
    <x v="4"/>
    <d v="2022-12-22T00:00:00"/>
    <s v="Bill"/>
    <n v="36765081"/>
    <x v="48"/>
    <d v="2022-12-22T00:00:00"/>
    <n v="212"/>
    <x v="0"/>
    <n v="3608"/>
    <n v="3608"/>
  </r>
  <r>
    <x v="4"/>
    <d v="2022-12-22T00:00:00"/>
    <s v="Bill"/>
    <n v="36778441"/>
    <x v="48"/>
    <d v="2022-12-22T00:00:00"/>
    <n v="212"/>
    <x v="0"/>
    <n v="1679"/>
    <n v="1679"/>
  </r>
  <r>
    <x v="4"/>
    <d v="2022-12-22T00:00:00"/>
    <s v="Bill"/>
    <n v="36778440"/>
    <x v="48"/>
    <d v="2022-12-22T00:00:00"/>
    <n v="212"/>
    <x v="0"/>
    <n v="1679"/>
    <n v="1679"/>
  </r>
  <r>
    <x v="4"/>
    <d v="2022-12-22T00:00:00"/>
    <s v="Bill"/>
    <n v="36778439"/>
    <x v="48"/>
    <d v="2022-12-22T00:00:00"/>
    <n v="212"/>
    <x v="0"/>
    <n v="1511.25"/>
    <n v="1511.25"/>
  </r>
  <r>
    <x v="4"/>
    <d v="2022-12-22T00:00:00"/>
    <s v="Bill"/>
    <s v="INV#140980"/>
    <x v="46"/>
    <d v="2022-12-22T00:00:00"/>
    <n v="212"/>
    <x v="0"/>
    <n v="650"/>
    <n v="650"/>
  </r>
  <r>
    <x v="4"/>
    <d v="2022-12-22T00:00:00"/>
    <s v="Bill"/>
    <n v="36778437"/>
    <x v="48"/>
    <d v="2022-12-22T00:00:00"/>
    <n v="212"/>
    <x v="0"/>
    <n v="645.98"/>
    <n v="645.98"/>
  </r>
  <r>
    <x v="4"/>
    <d v="2022-12-22T00:00:00"/>
    <s v="Bill"/>
    <n v="36782250"/>
    <x v="48"/>
    <d v="2022-12-22T00:00:00"/>
    <n v="212"/>
    <x v="0"/>
    <n v="459.68"/>
    <n v="459.68"/>
  </r>
  <r>
    <x v="4"/>
    <d v="2022-11-23T00:00:00"/>
    <s v="Bill"/>
    <n v="10157556"/>
    <x v="53"/>
    <d v="2022-12-23T00:00:00"/>
    <n v="211"/>
    <x v="0"/>
    <n v="345"/>
    <n v="345"/>
  </r>
  <r>
    <x v="4"/>
    <d v="2022-11-23T00:00:00"/>
    <s v="Bill"/>
    <n v="10157558"/>
    <x v="53"/>
    <d v="2022-12-23T00:00:00"/>
    <n v="211"/>
    <x v="0"/>
    <n v="345"/>
    <n v="345"/>
  </r>
  <r>
    <x v="4"/>
    <d v="2022-11-23T00:00:00"/>
    <s v="Bill"/>
    <n v="10157640"/>
    <x v="53"/>
    <d v="2022-12-23T00:00:00"/>
    <n v="211"/>
    <x v="0"/>
    <n v="345"/>
    <n v="345"/>
  </r>
  <r>
    <x v="4"/>
    <d v="2022-12-23T00:00:00"/>
    <s v="Bill"/>
    <n v="111225"/>
    <x v="17"/>
    <d v="2022-12-23T00:00:00"/>
    <n v="211"/>
    <x v="0"/>
    <n v="500"/>
    <n v="500"/>
  </r>
  <r>
    <x v="4"/>
    <d v="2022-11-28T00:00:00"/>
    <s v="Bill"/>
    <n v="10159801"/>
    <x v="53"/>
    <d v="2022-12-28T00:00:00"/>
    <n v="206"/>
    <x v="0"/>
    <n v="345"/>
    <n v="345"/>
  </r>
  <r>
    <x v="4"/>
    <d v="2022-12-28T00:00:00"/>
    <s v="Bill"/>
    <n v="111420"/>
    <x v="17"/>
    <d v="2022-12-28T00:00:00"/>
    <n v="206"/>
    <x v="0"/>
    <n v="300"/>
    <n v="300"/>
  </r>
  <r>
    <x v="4"/>
    <d v="2022-12-28T00:00:00"/>
    <s v="Bill"/>
    <n v="111421"/>
    <x v="17"/>
    <d v="2022-12-28T00:00:00"/>
    <n v="206"/>
    <x v="0"/>
    <n v="300"/>
    <n v="300"/>
  </r>
  <r>
    <x v="4"/>
    <d v="2022-12-28T00:00:00"/>
    <s v="Bill"/>
    <n v="111422"/>
    <x v="17"/>
    <d v="2022-12-28T00:00:00"/>
    <n v="206"/>
    <x v="0"/>
    <n v="300"/>
    <n v="300"/>
  </r>
  <r>
    <x v="4"/>
    <d v="2022-12-28T00:00:00"/>
    <s v="Bill"/>
    <n v="111423"/>
    <x v="17"/>
    <d v="2022-12-28T00:00:00"/>
    <n v="206"/>
    <x v="0"/>
    <n v="300"/>
    <n v="300"/>
  </r>
  <r>
    <x v="4"/>
    <d v="2022-12-29T00:00:00"/>
    <s v="Bill"/>
    <n v="36780992"/>
    <x v="48"/>
    <d v="2022-12-29T00:00:00"/>
    <n v="205"/>
    <x v="0"/>
    <n v="2800"/>
    <n v="2800"/>
  </r>
  <r>
    <x v="4"/>
    <d v="2022-12-29T00:00:00"/>
    <s v="Bill"/>
    <n v="36781500"/>
    <x v="48"/>
    <d v="2022-12-29T00:00:00"/>
    <n v="205"/>
    <x v="0"/>
    <n v="459.68"/>
    <n v="459.68"/>
  </r>
  <r>
    <x v="4"/>
    <d v="2022-12-29T00:00:00"/>
    <s v="Bill"/>
    <n v="36781499"/>
    <x v="48"/>
    <d v="2022-12-29T00:00:00"/>
    <n v="205"/>
    <x v="0"/>
    <n v="459.68"/>
    <n v="459.68"/>
  </r>
  <r>
    <x v="4"/>
    <d v="2022-12-30T00:00:00"/>
    <s v="Bill"/>
    <n v="108341"/>
    <x v="17"/>
    <d v="2022-12-30T00:00:00"/>
    <n v="204"/>
    <x v="0"/>
    <n v="3936.8"/>
    <n v="3936.8"/>
  </r>
  <r>
    <x v="4"/>
    <d v="2022-12-30T00:00:00"/>
    <s v="Bill"/>
    <n v="108342"/>
    <x v="17"/>
    <d v="2022-12-30T00:00:00"/>
    <n v="204"/>
    <x v="0"/>
    <n v="250"/>
    <n v="250"/>
  </r>
  <r>
    <x v="4"/>
    <d v="2022-12-01T00:00:00"/>
    <s v="Bill"/>
    <s v="FCCTX/22/105276"/>
    <x v="56"/>
    <d v="2022-12-31T00:00:00"/>
    <n v="203"/>
    <x v="0"/>
    <n v="206"/>
    <n v="206"/>
  </r>
  <r>
    <x v="4"/>
    <d v="2022-12-31T00:00:00"/>
    <s v="Journal Entry"/>
    <s v="Adj_AspenEngineers_Re"/>
    <x v="57"/>
    <d v="2022-12-31T00:00:00"/>
    <n v="203"/>
    <x v="0"/>
    <n v="617438.82999999996"/>
    <n v="617438.82999999996"/>
  </r>
  <r>
    <x v="4"/>
    <d v="2023-01-01T00:00:00"/>
    <s v="Bill"/>
    <n v="26286"/>
    <x v="1"/>
    <d v="2023-01-01T00:00:00"/>
    <n v="202"/>
    <x v="0"/>
    <n v="300"/>
    <n v="300"/>
  </r>
  <r>
    <x v="4"/>
    <d v="2023-01-03T00:00:00"/>
    <s v="Bill"/>
    <n v="9645"/>
    <x v="30"/>
    <d v="2023-01-03T00:00:00"/>
    <n v="200"/>
    <x v="0"/>
    <n v="5114.8100000000004"/>
    <n v="5114.8100000000004"/>
  </r>
  <r>
    <x v="4"/>
    <d v="2023-01-17T00:00:00"/>
    <s v="Bill"/>
    <n v="682539"/>
    <x v="47"/>
    <d v="2023-01-17T00:00:00"/>
    <n v="186"/>
    <x v="0"/>
    <n v="1250.9000000000001"/>
    <n v="1250.9000000000001"/>
  </r>
  <r>
    <x v="4"/>
    <d v="2023-01-17T00:00:00"/>
    <s v="Bill"/>
    <n v="682541"/>
    <x v="47"/>
    <d v="2023-01-17T00:00:00"/>
    <n v="186"/>
    <x v="0"/>
    <n v="1250.9000000000001"/>
    <n v="1250.9000000000001"/>
  </r>
  <r>
    <x v="4"/>
    <d v="2023-01-17T00:00:00"/>
    <s v="Bill"/>
    <n v="682543"/>
    <x v="47"/>
    <d v="2023-01-17T00:00:00"/>
    <n v="186"/>
    <x v="0"/>
    <n v="1250.9000000000001"/>
    <n v="1250.9000000000001"/>
  </r>
  <r>
    <x v="4"/>
    <d v="2023-01-17T00:00:00"/>
    <s v="Bill"/>
    <n v="682544"/>
    <x v="47"/>
    <d v="2023-01-17T00:00:00"/>
    <n v="186"/>
    <x v="0"/>
    <n v="1250.9000000000001"/>
    <n v="1250.9000000000001"/>
  </r>
  <r>
    <x v="4"/>
    <d v="2023-01-18T00:00:00"/>
    <s v="Bill"/>
    <n v="683035"/>
    <x v="47"/>
    <d v="2023-01-18T00:00:00"/>
    <n v="185"/>
    <x v="0"/>
    <n v="250"/>
    <n v="250"/>
  </r>
  <r>
    <x v="4"/>
    <d v="2023-01-18T00:00:00"/>
    <s v="Bill"/>
    <n v="88215"/>
    <x v="58"/>
    <d v="2023-01-18T00:00:00"/>
    <n v="185"/>
    <x v="0"/>
    <n v="162.38"/>
    <n v="162.38"/>
  </r>
  <r>
    <x v="4"/>
    <d v="2023-01-30T00:00:00"/>
    <s v="Bill"/>
    <n v="685226"/>
    <x v="47"/>
    <d v="2023-01-30T00:00:00"/>
    <n v="173"/>
    <x v="0"/>
    <n v="800"/>
    <n v="800"/>
  </r>
  <r>
    <x v="4"/>
    <d v="2023-01-30T00:00:00"/>
    <s v="Bill"/>
    <n v="685227"/>
    <x v="47"/>
    <d v="2023-01-30T00:00:00"/>
    <n v="173"/>
    <x v="0"/>
    <n v="800"/>
    <n v="800"/>
  </r>
  <r>
    <x v="4"/>
    <d v="2023-01-30T00:00:00"/>
    <s v="Bill"/>
    <n v="685228"/>
    <x v="47"/>
    <d v="2023-01-30T00:00:00"/>
    <n v="173"/>
    <x v="0"/>
    <n v="800"/>
    <n v="800"/>
  </r>
  <r>
    <x v="4"/>
    <d v="2023-01-30T00:00:00"/>
    <s v="Bill"/>
    <n v="685230"/>
    <x v="47"/>
    <d v="2023-01-30T00:00:00"/>
    <n v="173"/>
    <x v="0"/>
    <n v="800"/>
    <n v="800"/>
  </r>
  <r>
    <x v="4"/>
    <d v="2022-09-01T00:00:00"/>
    <s v="Bill"/>
    <n v="7253"/>
    <x v="45"/>
    <d v="2023-02-09T00:00:00"/>
    <n v="163"/>
    <x v="0"/>
    <n v="499"/>
    <n v="499"/>
  </r>
  <r>
    <x v="4"/>
    <d v="2022-09-30T00:00:00"/>
    <s v="Bill"/>
    <n v="7254"/>
    <x v="45"/>
    <d v="2023-02-09T00:00:00"/>
    <n v="163"/>
    <x v="0"/>
    <n v="598.65"/>
    <n v="598.65"/>
  </r>
  <r>
    <x v="4"/>
    <d v="2022-09-30T00:00:00"/>
    <s v="Bill"/>
    <n v="7255"/>
    <x v="45"/>
    <d v="2023-02-09T00:00:00"/>
    <n v="163"/>
    <x v="0"/>
    <n v="348.65"/>
    <n v="348.65"/>
  </r>
  <r>
    <x v="4"/>
    <d v="2022-10-12T00:00:00"/>
    <s v="Bill"/>
    <n v="7256"/>
    <x v="45"/>
    <d v="2023-02-09T00:00:00"/>
    <n v="163"/>
    <x v="0"/>
    <n v="1395.6"/>
    <n v="1395.6"/>
  </r>
  <r>
    <x v="4"/>
    <d v="2023-01-11T00:00:00"/>
    <s v="Bill"/>
    <n v="3156"/>
    <x v="20"/>
    <d v="2023-02-10T00:00:00"/>
    <n v="162"/>
    <x v="0"/>
    <n v="450"/>
    <n v="450"/>
  </r>
  <r>
    <x v="4"/>
    <d v="2023-02-01T00:00:00"/>
    <s v="Bill"/>
    <n v="26384"/>
    <x v="1"/>
    <d v="2023-02-16T00:00:00"/>
    <n v="156"/>
    <x v="0"/>
    <n v="300"/>
    <n v="300"/>
  </r>
  <r>
    <x v="4"/>
    <d v="2023-01-19T00:00:00"/>
    <s v="Bill"/>
    <n v="9212"/>
    <x v="35"/>
    <d v="2023-02-18T00:00:00"/>
    <n v="154"/>
    <x v="0"/>
    <n v="2273.25"/>
    <n v="2273.25"/>
  </r>
  <r>
    <x v="4"/>
    <d v="2023-02-24T00:00:00"/>
    <s v="Bill"/>
    <s v="IN254006"/>
    <x v="55"/>
    <d v="2023-02-24T00:00:00"/>
    <n v="148"/>
    <x v="0"/>
    <n v="3521.33"/>
    <n v="3521.33"/>
  </r>
  <r>
    <x v="4"/>
    <d v="2023-02-24T00:00:00"/>
    <s v="Bill"/>
    <s v="IN254128"/>
    <x v="55"/>
    <d v="2023-02-24T00:00:00"/>
    <n v="148"/>
    <x v="0"/>
    <n v="3516.87"/>
    <n v="3516.87"/>
  </r>
  <r>
    <x v="4"/>
    <d v="2023-02-28T00:00:00"/>
    <s v="Bill"/>
    <n v="43990"/>
    <x v="0"/>
    <d v="2023-02-28T00:00:00"/>
    <n v="144"/>
    <x v="0"/>
    <n v="300"/>
    <n v="300"/>
  </r>
  <r>
    <x v="4"/>
    <d v="2023-02-24T00:00:00"/>
    <s v="Bill"/>
    <s v="INV-MP4596"/>
    <x v="49"/>
    <d v="2023-03-11T00:00:00"/>
    <n v="133"/>
    <x v="0"/>
    <n v="2330"/>
    <n v="2330"/>
  </r>
  <r>
    <x v="4"/>
    <d v="2023-03-14T00:00:00"/>
    <s v="Bill"/>
    <n v="69977889"/>
    <x v="59"/>
    <d v="2023-03-14T00:00:00"/>
    <n v="130"/>
    <x v="0"/>
    <n v="175"/>
    <n v="175"/>
  </r>
  <r>
    <x v="4"/>
    <d v="2023-03-15T00:00:00"/>
    <s v="Bill"/>
    <n v="694518"/>
    <x v="47"/>
    <d v="2023-03-15T00:00:00"/>
    <n v="129"/>
    <x v="0"/>
    <n v="1250"/>
    <n v="1250"/>
  </r>
  <r>
    <x v="4"/>
    <d v="2023-03-01T00:00:00"/>
    <s v="Bill"/>
    <n v="26505"/>
    <x v="1"/>
    <d v="2023-03-16T00:00:00"/>
    <n v="128"/>
    <x v="0"/>
    <n v="300"/>
    <n v="300"/>
  </r>
  <r>
    <x v="4"/>
    <d v="2023-03-22T00:00:00"/>
    <s v="Bill"/>
    <n v="92576"/>
    <x v="51"/>
    <d v="2023-03-22T00:00:00"/>
    <n v="122"/>
    <x v="0"/>
    <n v="625"/>
    <n v="625"/>
  </r>
  <r>
    <x v="4"/>
    <d v="2023-03-08T00:00:00"/>
    <s v="Bill"/>
    <s v="INV-MP4691"/>
    <x v="49"/>
    <d v="2023-03-23T00:00:00"/>
    <n v="121"/>
    <x v="0"/>
    <n v="2150"/>
    <n v="2150"/>
  </r>
  <r>
    <x v="4"/>
    <d v="2023-03-29T00:00:00"/>
    <s v="Bill"/>
    <n v="70144506"/>
    <x v="59"/>
    <d v="2023-03-29T00:00:00"/>
    <n v="115"/>
    <x v="0"/>
    <n v="737.81"/>
    <n v="737.81"/>
  </r>
  <r>
    <x v="4"/>
    <d v="2023-03-29T00:00:00"/>
    <s v="Bill"/>
    <n v="70144508"/>
    <x v="59"/>
    <d v="2023-03-29T00:00:00"/>
    <n v="115"/>
    <x v="0"/>
    <n v="737.81"/>
    <n v="737.81"/>
  </r>
  <r>
    <x v="4"/>
    <d v="2023-03-29T00:00:00"/>
    <s v="Bill"/>
    <n v="70144504"/>
    <x v="59"/>
    <d v="2023-03-29T00:00:00"/>
    <n v="115"/>
    <x v="0"/>
    <n v="732.01"/>
    <n v="732.01"/>
  </r>
  <r>
    <x v="4"/>
    <d v="2023-03-29T00:00:00"/>
    <s v="Bill"/>
    <n v="70144510"/>
    <x v="59"/>
    <d v="2023-03-29T00:00:00"/>
    <n v="115"/>
    <x v="0"/>
    <n v="732.01"/>
    <n v="732.01"/>
  </r>
  <r>
    <x v="4"/>
    <d v="2023-03-29T00:00:00"/>
    <s v="Bill"/>
    <n v="70144512"/>
    <x v="59"/>
    <d v="2023-03-29T00:00:00"/>
    <n v="115"/>
    <x v="0"/>
    <n v="732.01"/>
    <n v="732.01"/>
  </r>
  <r>
    <x v="4"/>
    <d v="2023-03-29T00:00:00"/>
    <s v="Bill"/>
    <n v="70144514"/>
    <x v="59"/>
    <d v="2023-03-29T00:00:00"/>
    <n v="115"/>
    <x v="0"/>
    <n v="732.01"/>
    <n v="732.01"/>
  </r>
  <r>
    <x v="4"/>
    <d v="2023-02-28T00:00:00"/>
    <s v="Bill"/>
    <n v="13821"/>
    <x v="32"/>
    <d v="2023-03-30T00:00:00"/>
    <n v="114"/>
    <x v="0"/>
    <n v="225"/>
    <n v="225"/>
  </r>
  <r>
    <x v="4"/>
    <d v="2023-03-31T00:00:00"/>
    <s v="Bill"/>
    <s v="AC899751"/>
    <x v="9"/>
    <d v="2023-03-31T00:00:00"/>
    <n v="113"/>
    <x v="0"/>
    <n v="500"/>
    <n v="500"/>
  </r>
  <r>
    <x v="4"/>
    <d v="2023-03-31T00:00:00"/>
    <s v="Bill"/>
    <s v="AC899752"/>
    <x v="9"/>
    <d v="2023-03-31T00:00:00"/>
    <n v="113"/>
    <x v="0"/>
    <n v="500"/>
    <n v="500"/>
  </r>
  <r>
    <x v="4"/>
    <d v="2023-03-31T00:00:00"/>
    <s v="Bill"/>
    <s v="AC899753"/>
    <x v="9"/>
    <d v="2023-03-31T00:00:00"/>
    <n v="113"/>
    <x v="0"/>
    <n v="500"/>
    <n v="500"/>
  </r>
  <r>
    <x v="4"/>
    <d v="2023-03-31T00:00:00"/>
    <s v="Bill"/>
    <s v="AC899754"/>
    <x v="9"/>
    <d v="2023-03-31T00:00:00"/>
    <n v="113"/>
    <x v="0"/>
    <n v="500"/>
    <n v="500"/>
  </r>
  <r>
    <x v="4"/>
    <d v="2023-04-07T00:00:00"/>
    <s v="Bill"/>
    <n v="1019"/>
    <x v="60"/>
    <d v="2023-04-07T00:00:00"/>
    <n v="106"/>
    <x v="0"/>
    <n v="636.75"/>
    <n v="636.75"/>
  </r>
  <r>
    <x v="4"/>
    <d v="2023-04-05T00:00:00"/>
    <s v="Bill"/>
    <n v="1025"/>
    <x v="61"/>
    <d v="2023-04-08T00:00:00"/>
    <n v="105"/>
    <x v="0"/>
    <n v="7630"/>
    <n v="7630"/>
  </r>
  <r>
    <x v="4"/>
    <d v="2023-04-01T00:00:00"/>
    <s v="Bill"/>
    <n v="26631"/>
    <x v="1"/>
    <d v="2023-04-16T00:00:00"/>
    <n v="97"/>
    <x v="0"/>
    <n v="300"/>
    <n v="300"/>
  </r>
  <r>
    <x v="4"/>
    <d v="2023-03-29T00:00:00"/>
    <s v="Bill"/>
    <n v="3314"/>
    <x v="20"/>
    <d v="2023-04-28T00:00:00"/>
    <n v="85"/>
    <x v="1"/>
    <n v="490"/>
    <n v="490"/>
  </r>
  <r>
    <x v="4"/>
    <d v="2023-03-31T00:00:00"/>
    <s v="Bill"/>
    <n v="1698915"/>
    <x v="56"/>
    <d v="2023-04-30T00:00:00"/>
    <n v="83"/>
    <x v="1"/>
    <n v="186.84"/>
    <n v="186.84"/>
  </r>
  <r>
    <x v="4"/>
    <d v="2023-04-20T00:00:00"/>
    <s v="Bill"/>
    <s v="INV-MP5041"/>
    <x v="49"/>
    <d v="2023-05-05T00:00:00"/>
    <n v="78"/>
    <x v="1"/>
    <n v="2897.5"/>
    <n v="2897.5"/>
  </r>
  <r>
    <x v="4"/>
    <d v="2023-05-18T00:00:00"/>
    <s v="Journal Entry"/>
    <s v="To WonderBro from8830"/>
    <x v="61"/>
    <d v="2023-05-18T00:00:00"/>
    <n v="65"/>
    <x v="1"/>
    <n v="-4000"/>
    <n v="-4000"/>
  </r>
  <r>
    <x v="4"/>
    <d v="2023-04-27T00:00:00"/>
    <s v="Bill"/>
    <n v="44964"/>
    <x v="0"/>
    <d v="2023-05-27T00:00:00"/>
    <n v="56"/>
    <x v="2"/>
    <n v="300"/>
    <n v="300"/>
  </r>
  <r>
    <x v="4"/>
    <d v="2023-04-28T00:00:00"/>
    <s v="Bill"/>
    <n v="9335"/>
    <x v="35"/>
    <d v="2023-05-28T00:00:00"/>
    <n v="55"/>
    <x v="2"/>
    <n v="2273.25"/>
    <n v="2273.25"/>
  </r>
  <r>
    <x v="4"/>
    <d v="2023-04-30T00:00:00"/>
    <s v="Bill"/>
    <n v="1701880"/>
    <x v="56"/>
    <d v="2023-05-30T00:00:00"/>
    <n v="53"/>
    <x v="2"/>
    <n v="186.84"/>
    <n v="186.84"/>
  </r>
  <r>
    <x v="4"/>
    <d v="2023-05-31T00:00:00"/>
    <s v="Bill"/>
    <n v="1705945"/>
    <x v="62"/>
    <d v="2023-05-31T00:00:00"/>
    <n v="52"/>
    <x v="2"/>
    <n v="186.84"/>
    <n v="186.84"/>
  </r>
  <r>
    <x v="4"/>
    <d v="2023-06-02T00:00:00"/>
    <s v="Bill"/>
    <n v="1031"/>
    <x v="61"/>
    <d v="2023-06-02T00:00:00"/>
    <n v="50"/>
    <x v="2"/>
    <n v="4530"/>
    <n v="4530"/>
  </r>
  <r>
    <x v="4"/>
    <d v="2023-05-22T00:00:00"/>
    <s v="Bill"/>
    <s v="INV-MP5271"/>
    <x v="49"/>
    <d v="2023-06-06T00:00:00"/>
    <n v="46"/>
    <x v="2"/>
    <n v="1975"/>
    <n v="1975"/>
  </r>
  <r>
    <x v="4"/>
    <d v="2023-06-07T00:00:00"/>
    <s v="Bill"/>
    <s v="INV0156"/>
    <x v="63"/>
    <d v="2023-06-07T00:00:00"/>
    <n v="45"/>
    <x v="2"/>
    <n v="4825"/>
    <n v="4825"/>
  </r>
  <r>
    <x v="4"/>
    <d v="2023-06-30T00:00:00"/>
    <s v="Bill"/>
    <s v="INV-MP5566"/>
    <x v="49"/>
    <d v="2023-06-30T00:00:00"/>
    <n v="22"/>
    <x v="3"/>
    <n v="1861.25"/>
    <n v="1861.25"/>
  </r>
  <r>
    <x v="4"/>
    <d v="2023-06-30T00:00:00"/>
    <s v="Bill"/>
    <n v="1709351"/>
    <x v="56"/>
    <d v="2023-07-30T00:00:00"/>
    <n v="-8"/>
    <x v="4"/>
    <n v="186.84"/>
    <n v="186.84"/>
  </r>
  <r>
    <x v="4"/>
    <d v="2022-08-02T00:00:00"/>
    <s v="Vendor Credit"/>
    <n v="4078"/>
    <x v="10"/>
    <m/>
    <n v="0"/>
    <x v="4"/>
    <n v="-15276.24"/>
    <n v="-15276.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ompany">
  <location ref="A3:G9" firstHeaderRow="0" firstDataRow="1" firstDataCol="1"/>
  <pivotFields count="10">
    <pivotField axis="axisRow" showAll="0">
      <items count="8">
        <item h="1" x="6"/>
        <item x="0"/>
        <item x="1"/>
        <item x="2"/>
        <item x="3"/>
        <item x="4"/>
        <item h="1" x="5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numFmtId="164" showAll="0"/>
    <pivotField dataField="1" numFmtId="164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Accounts Payable" fld="8" baseField="0" baseItem="0" numFmtId="43"/>
    <dataField name="Total Open Balance" fld="9" baseField="0" baseItem="0" numFmtId="43"/>
    <dataField name="% of AP" fld="9" showDataAs="percentOfTotal" baseField="0" baseItem="4" numFmtId="10"/>
    <dataField name="Count of Past Due" fld="6" subtotal="count" baseField="0" baseItem="0"/>
    <dataField name="Transaction Count" fld="3" subtotal="count" baseField="0" baseItem="0"/>
    <dataField name="Average of Past Due" fld="6" subtotal="average" baseField="0" baseItem="0" numFmtId="2"/>
  </dataFields>
  <formats count="14">
    <format dxfId="22">
      <pivotArea field="0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0">
      <pivotArea field="0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grandTotalCaption="Total Open Balance" updatedVersion="6" minRefreshableVersion="3" showCalcMbrs="0" useAutoFormatting="1" itemPrintTitles="1" createdVersion="3" indent="0" outline="1" outlineData="1" multipleFieldFilters="0" rowHeaderCaption="Companies " colHeaderCaption="Aging Bucket">
  <location ref="A3:G10" firstHeaderRow="1" firstDataRow="2" firstDataCol="1"/>
  <pivotFields count="11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6">
        <item x="4"/>
        <item x="3"/>
        <item x="2"/>
        <item x="1"/>
        <item x="0"/>
        <item t="default"/>
      </items>
    </pivotField>
    <pivotField showAll="0"/>
    <pivotField dataField="1" showAll="0"/>
    <pivotField showAll="0" defaultSubtotal="0">
      <items count="236">
        <item x="9"/>
        <item x="106"/>
        <item x="77"/>
        <item x="64"/>
        <item x="69"/>
        <item x="27"/>
        <item x="104"/>
        <item x="49"/>
        <item x="165"/>
        <item x="68"/>
        <item x="178"/>
        <item x="115"/>
        <item x="139"/>
        <item x="164"/>
        <item x="83"/>
        <item x="66"/>
        <item x="134"/>
        <item x="50"/>
        <item x="89"/>
        <item x="76"/>
        <item x="51"/>
        <item x="58"/>
        <item x="95"/>
        <item x="55"/>
        <item x="72"/>
        <item x="211"/>
        <item x="75"/>
        <item x="228"/>
        <item x="158"/>
        <item x="177"/>
        <item x="74"/>
        <item x="210"/>
        <item x="219"/>
        <item x="102"/>
        <item x="148"/>
        <item x="209"/>
        <item x="109"/>
        <item x="167"/>
        <item x="34"/>
        <item x="19"/>
        <item x="103"/>
        <item x="1"/>
        <item x="200"/>
        <item x="152"/>
        <item x="112"/>
        <item x="162"/>
        <item x="118"/>
        <item x="198"/>
        <item x="225"/>
        <item x="41"/>
        <item x="127"/>
        <item x="61"/>
        <item x="141"/>
        <item x="73"/>
        <item x="88"/>
        <item x="12"/>
        <item x="205"/>
        <item x="53"/>
        <item x="22"/>
        <item x="183"/>
        <item x="223"/>
        <item x="38"/>
        <item x="99"/>
        <item x="195"/>
        <item x="194"/>
        <item x="90"/>
        <item x="5"/>
        <item x="140"/>
        <item x="94"/>
        <item x="193"/>
        <item x="29"/>
        <item x="101"/>
        <item x="224"/>
        <item x="182"/>
        <item x="230"/>
        <item x="60"/>
        <item x="234"/>
        <item x="217"/>
        <item x="213"/>
        <item x="43"/>
        <item x="17"/>
        <item x="233"/>
        <item x="232"/>
        <item x="129"/>
        <item x="70"/>
        <item x="8"/>
        <item x="222"/>
        <item x="208"/>
        <item x="161"/>
        <item x="131"/>
        <item x="163"/>
        <item x="7"/>
        <item x="212"/>
        <item x="0"/>
        <item x="86"/>
        <item x="199"/>
        <item x="63"/>
        <item x="184"/>
        <item x="31"/>
        <item x="136"/>
        <item x="138"/>
        <item x="229"/>
        <item x="221"/>
        <item x="196"/>
        <item x="62"/>
        <item x="170"/>
        <item x="114"/>
        <item x="87"/>
        <item x="226"/>
        <item x="2"/>
        <item x="190"/>
        <item x="137"/>
        <item x="97"/>
        <item x="189"/>
        <item x="216"/>
        <item x="110"/>
        <item x="52"/>
        <item x="44"/>
        <item x="123"/>
        <item x="4"/>
        <item x="135"/>
        <item x="14"/>
        <item x="215"/>
        <item x="197"/>
        <item x="172"/>
        <item x="156"/>
        <item x="181"/>
        <item x="169"/>
        <item x="92"/>
        <item x="168"/>
        <item x="98"/>
        <item x="40"/>
        <item x="105"/>
        <item x="147"/>
        <item x="231"/>
        <item x="10"/>
        <item x="80"/>
        <item x="111"/>
        <item x="155"/>
        <item x="207"/>
        <item x="100"/>
        <item x="128"/>
        <item x="227"/>
        <item x="126"/>
        <item x="79"/>
        <item x="11"/>
        <item x="180"/>
        <item x="65"/>
        <item x="179"/>
        <item x="145"/>
        <item x="117"/>
        <item x="113"/>
        <item x="96"/>
        <item x="71"/>
        <item x="15"/>
        <item x="188"/>
        <item x="218"/>
        <item x="174"/>
        <item x="192"/>
        <item x="125"/>
        <item x="108"/>
        <item x="154"/>
        <item x="28"/>
        <item x="204"/>
        <item x="203"/>
        <item x="107"/>
        <item x="202"/>
        <item x="201"/>
        <item x="214"/>
        <item x="160"/>
        <item x="56"/>
        <item x="144"/>
        <item x="151"/>
        <item x="54"/>
        <item x="191"/>
        <item x="176"/>
        <item x="93"/>
        <item x="175"/>
        <item x="143"/>
        <item x="149"/>
        <item x="142"/>
        <item x="36"/>
        <item x="18"/>
        <item x="20"/>
        <item x="59"/>
        <item x="146"/>
        <item x="153"/>
        <item x="46"/>
        <item x="85"/>
        <item x="206"/>
        <item x="84"/>
        <item x="91"/>
        <item x="67"/>
        <item x="16"/>
        <item x="150"/>
        <item x="159"/>
        <item x="166"/>
        <item x="21"/>
        <item x="48"/>
        <item x="37"/>
        <item x="6"/>
        <item x="82"/>
        <item x="173"/>
        <item x="13"/>
        <item x="132"/>
        <item x="121"/>
        <item x="186"/>
        <item x="235"/>
        <item x="47"/>
        <item x="185"/>
        <item x="32"/>
        <item x="130"/>
        <item x="39"/>
        <item x="120"/>
        <item x="187"/>
        <item x="45"/>
        <item x="157"/>
        <item x="119"/>
        <item x="3"/>
        <item x="171"/>
        <item x="57"/>
        <item x="133"/>
        <item x="81"/>
        <item x="116"/>
        <item x="124"/>
        <item x="33"/>
        <item x="26"/>
        <item x="42"/>
        <item x="122"/>
        <item x="25"/>
        <item x="24"/>
        <item x="35"/>
        <item x="23"/>
        <item x="30"/>
        <item x="78"/>
        <item x="220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mpanies by Aging Bucket" fld="9" baseField="0" baseItem="0" numFmtId="168"/>
  </dataFields>
  <formats count="3"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/>
    </format>
  </formats>
  <pivotTableStyleInfo name="PivotStyleMedium15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ompanies">
  <location ref="A3:F68" firstHeaderRow="0" firstDataRow="1" firstDataCol="1"/>
  <pivotFields count="11">
    <pivotField showAll="0"/>
    <pivotField numFmtId="167" showAll="0"/>
    <pivotField showAll="0"/>
    <pivotField showAll="0"/>
    <pivotField axis="axisRow" dataField="1" showAll="0" sortType="descending">
      <items count="65">
        <item x="50"/>
        <item x="40"/>
        <item x="34"/>
        <item x="4"/>
        <item x="46"/>
        <item x="21"/>
        <item x="45"/>
        <item x="41"/>
        <item x="57"/>
        <item x="43"/>
        <item x="60"/>
        <item x="22"/>
        <item x="1"/>
        <item x="54"/>
        <item x="37"/>
        <item x="58"/>
        <item x="44"/>
        <item x="25"/>
        <item x="15"/>
        <item x="32"/>
        <item x="36"/>
        <item x="33"/>
        <item x="23"/>
        <item x="38"/>
        <item x="31"/>
        <item x="24"/>
        <item x="55"/>
        <item x="56"/>
        <item x="53"/>
        <item x="5"/>
        <item x="42"/>
        <item x="52"/>
        <item x="3"/>
        <item x="12"/>
        <item x="16"/>
        <item x="8"/>
        <item x="51"/>
        <item x="17"/>
        <item x="47"/>
        <item x="49"/>
        <item x="13"/>
        <item x="18"/>
        <item x="30"/>
        <item x="63"/>
        <item x="39"/>
        <item x="10"/>
        <item x="28"/>
        <item x="6"/>
        <item x="14"/>
        <item x="62"/>
        <item x="19"/>
        <item x="29"/>
        <item x="9"/>
        <item x="27"/>
        <item x="0"/>
        <item x="11"/>
        <item x="20"/>
        <item x="2"/>
        <item x="7"/>
        <item x="35"/>
        <item x="59"/>
        <item x="26"/>
        <item x="48"/>
        <item x="6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numFmtId="3" showAll="0"/>
    <pivotField showAll="0"/>
    <pivotField numFmtId="164" showAll="0"/>
    <pivotField dataField="1" numFmtId="164" showAll="0">
      <items count="260">
        <item x="258"/>
        <item x="253"/>
        <item x="106"/>
        <item x="77"/>
        <item x="64"/>
        <item x="69"/>
        <item x="27"/>
        <item x="104"/>
        <item x="49"/>
        <item x="180"/>
        <item x="68"/>
        <item x="193"/>
        <item x="127"/>
        <item x="154"/>
        <item x="179"/>
        <item x="83"/>
        <item x="66"/>
        <item x="149"/>
        <item x="50"/>
        <item x="89"/>
        <item x="76"/>
        <item x="51"/>
        <item x="58"/>
        <item x="95"/>
        <item x="55"/>
        <item x="72"/>
        <item x="225"/>
        <item x="75"/>
        <item x="242"/>
        <item x="173"/>
        <item x="251"/>
        <item x="192"/>
        <item x="74"/>
        <item x="224"/>
        <item x="233"/>
        <item x="102"/>
        <item x="163"/>
        <item x="134"/>
        <item x="109"/>
        <item x="182"/>
        <item x="34"/>
        <item x="19"/>
        <item x="103"/>
        <item x="1"/>
        <item x="215"/>
        <item x="167"/>
        <item x="112"/>
        <item x="177"/>
        <item x="130"/>
        <item x="213"/>
        <item x="239"/>
        <item x="41"/>
        <item x="140"/>
        <item x="61"/>
        <item x="156"/>
        <item x="73"/>
        <item x="88"/>
        <item x="12"/>
        <item x="220"/>
        <item x="53"/>
        <item x="22"/>
        <item x="198"/>
        <item x="113"/>
        <item x="250"/>
        <item x="237"/>
        <item x="38"/>
        <item x="99"/>
        <item x="210"/>
        <item x="209"/>
        <item x="90"/>
        <item x="5"/>
        <item x="155"/>
        <item x="94"/>
        <item x="122"/>
        <item x="123"/>
        <item x="208"/>
        <item x="29"/>
        <item x="101"/>
        <item x="238"/>
        <item x="197"/>
        <item x="244"/>
        <item x="60"/>
        <item x="248"/>
        <item x="231"/>
        <item x="227"/>
        <item x="43"/>
        <item x="17"/>
        <item x="247"/>
        <item x="246"/>
        <item x="142"/>
        <item x="70"/>
        <item x="8"/>
        <item x="236"/>
        <item x="223"/>
        <item x="176"/>
        <item x="144"/>
        <item x="178"/>
        <item x="7"/>
        <item x="226"/>
        <item x="0"/>
        <item x="86"/>
        <item x="214"/>
        <item x="63"/>
        <item x="199"/>
        <item x="31"/>
        <item x="151"/>
        <item x="153"/>
        <item x="243"/>
        <item x="235"/>
        <item x="211"/>
        <item x="62"/>
        <item x="185"/>
        <item x="126"/>
        <item x="87"/>
        <item x="240"/>
        <item x="2"/>
        <item x="205"/>
        <item x="152"/>
        <item x="97"/>
        <item x="204"/>
        <item x="230"/>
        <item x="110"/>
        <item x="52"/>
        <item x="44"/>
        <item x="136"/>
        <item x="4"/>
        <item x="119"/>
        <item x="150"/>
        <item x="14"/>
        <item x="229"/>
        <item x="257"/>
        <item x="212"/>
        <item x="117"/>
        <item x="187"/>
        <item x="255"/>
        <item x="171"/>
        <item x="196"/>
        <item x="184"/>
        <item x="92"/>
        <item x="183"/>
        <item x="98"/>
        <item x="40"/>
        <item x="105"/>
        <item x="162"/>
        <item x="245"/>
        <item x="114"/>
        <item x="10"/>
        <item x="80"/>
        <item x="111"/>
        <item x="170"/>
        <item x="222"/>
        <item x="100"/>
        <item x="141"/>
        <item x="241"/>
        <item x="139"/>
        <item x="79"/>
        <item x="11"/>
        <item x="195"/>
        <item x="65"/>
        <item x="194"/>
        <item x="160"/>
        <item x="129"/>
        <item x="125"/>
        <item x="96"/>
        <item x="71"/>
        <item x="15"/>
        <item x="203"/>
        <item x="232"/>
        <item x="252"/>
        <item x="189"/>
        <item x="115"/>
        <item x="207"/>
        <item x="138"/>
        <item x="108"/>
        <item x="169"/>
        <item x="28"/>
        <item x="219"/>
        <item x="218"/>
        <item x="107"/>
        <item x="217"/>
        <item x="216"/>
        <item x="228"/>
        <item x="175"/>
        <item x="56"/>
        <item x="159"/>
        <item x="166"/>
        <item x="120"/>
        <item x="54"/>
        <item x="206"/>
        <item x="191"/>
        <item x="93"/>
        <item x="190"/>
        <item x="158"/>
        <item x="164"/>
        <item x="157"/>
        <item x="36"/>
        <item x="18"/>
        <item x="20"/>
        <item x="59"/>
        <item x="161"/>
        <item x="168"/>
        <item x="46"/>
        <item x="254"/>
        <item x="85"/>
        <item x="221"/>
        <item x="116"/>
        <item x="256"/>
        <item x="84"/>
        <item x="91"/>
        <item x="67"/>
        <item x="16"/>
        <item x="165"/>
        <item x="174"/>
        <item x="181"/>
        <item x="21"/>
        <item x="48"/>
        <item x="37"/>
        <item x="6"/>
        <item x="82"/>
        <item x="9"/>
        <item x="188"/>
        <item x="124"/>
        <item x="13"/>
        <item x="145"/>
        <item x="133"/>
        <item x="118"/>
        <item x="201"/>
        <item x="249"/>
        <item x="47"/>
        <item x="200"/>
        <item x="32"/>
        <item x="143"/>
        <item x="39"/>
        <item x="132"/>
        <item x="202"/>
        <item x="45"/>
        <item x="172"/>
        <item x="131"/>
        <item x="3"/>
        <item x="186"/>
        <item x="57"/>
        <item x="148"/>
        <item x="81"/>
        <item x="128"/>
        <item x="137"/>
        <item x="121"/>
        <item x="33"/>
        <item x="26"/>
        <item x="42"/>
        <item x="135"/>
        <item x="25"/>
        <item x="24"/>
        <item x="35"/>
        <item x="23"/>
        <item x="30"/>
        <item x="78"/>
        <item x="147"/>
        <item x="146"/>
        <item x="234"/>
        <item t="default"/>
      </items>
    </pivotField>
    <pivotField showAll="0"/>
  </pivotFields>
  <rowFields count="1">
    <field x="4"/>
  </rowFields>
  <rowItems count="65">
    <i>
      <x v="8"/>
    </i>
    <i>
      <x v="30"/>
    </i>
    <i>
      <x v="45"/>
    </i>
    <i>
      <x v="35"/>
    </i>
    <i>
      <x v="55"/>
    </i>
    <i>
      <x v="62"/>
    </i>
    <i>
      <x v="7"/>
    </i>
    <i>
      <x v="25"/>
    </i>
    <i>
      <x v="32"/>
    </i>
    <i>
      <x v="38"/>
    </i>
    <i>
      <x v="37"/>
    </i>
    <i>
      <x v="29"/>
    </i>
    <i>
      <x v="21"/>
    </i>
    <i>
      <x v="61"/>
    </i>
    <i>
      <x v="56"/>
    </i>
    <i>
      <x v="48"/>
    </i>
    <i>
      <x v="18"/>
    </i>
    <i>
      <x v="3"/>
    </i>
    <i>
      <x v="26"/>
    </i>
    <i>
      <x v="53"/>
    </i>
    <i>
      <x v="4"/>
    </i>
    <i>
      <x v="40"/>
    </i>
    <i>
      <x v="9"/>
    </i>
    <i>
      <x v="39"/>
    </i>
    <i>
      <x/>
    </i>
    <i>
      <x v="42"/>
    </i>
    <i>
      <x v="52"/>
    </i>
    <i>
      <x v="57"/>
    </i>
    <i>
      <x v="1"/>
    </i>
    <i>
      <x v="41"/>
    </i>
    <i>
      <x v="16"/>
    </i>
    <i>
      <x v="63"/>
    </i>
    <i>
      <x v="20"/>
    </i>
    <i>
      <x v="28"/>
    </i>
    <i>
      <x v="47"/>
    </i>
    <i>
      <x v="59"/>
    </i>
    <i>
      <x v="23"/>
    </i>
    <i>
      <x v="6"/>
    </i>
    <i>
      <x v="43"/>
    </i>
    <i>
      <x v="60"/>
    </i>
    <i>
      <x v="46"/>
    </i>
    <i>
      <x v="44"/>
    </i>
    <i>
      <x v="36"/>
    </i>
    <i>
      <x v="33"/>
    </i>
    <i>
      <x v="58"/>
    </i>
    <i>
      <x v="2"/>
    </i>
    <i>
      <x v="54"/>
    </i>
    <i>
      <x v="31"/>
    </i>
    <i>
      <x v="12"/>
    </i>
    <i>
      <x v="17"/>
    </i>
    <i>
      <x v="50"/>
    </i>
    <i>
      <x v="27"/>
    </i>
    <i>
      <x v="5"/>
    </i>
    <i>
      <x v="10"/>
    </i>
    <i>
      <x v="13"/>
    </i>
    <i>
      <x v="11"/>
    </i>
    <i>
      <x v="14"/>
    </i>
    <i>
      <x v="24"/>
    </i>
    <i>
      <x v="19"/>
    </i>
    <i>
      <x v="51"/>
    </i>
    <i>
      <x v="49"/>
    </i>
    <i>
      <x v="22"/>
    </i>
    <i>
      <x v="15"/>
    </i>
    <i>
      <x v="3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ransaction Count" fld="4" subtotal="count" baseField="0" baseItem="0"/>
    <dataField name="Total Open Balance" fld="9" baseField="0" baseItem="0" numFmtId="44"/>
    <dataField name="% of AP" fld="9" showDataAs="percentOfTotal" baseField="9" baseItem="0" numFmtId="10"/>
    <dataField name="Avg Open Balance" fld="9" subtotal="average" baseField="4" baseItem="0" numFmtId="44"/>
    <dataField name="Rank by Open Balance" fld="9" baseField="4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6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EntityAgingPivot" cacheId="2" applyNumberFormats="0" applyBorderFormats="0" applyFontFormats="0" applyPatternFormats="0" applyAlignmentFormats="0" applyWidthHeightFormats="0" dataCaption="Values" updatedVersion="6" itemPrintTitles="1" indent="0" compact="0" outline="1" outlineData="1" compactData="0" chartFormat="3">
  <location ref="A4:D28" firstHeaderRow="1" firstDataRow="2" firstDataCol="2"/>
  <pivotFields count="10"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3"/>
        <item x="2"/>
        <item x="1"/>
        <item x="0"/>
        <item x="4"/>
        <item t="default"/>
      </items>
    </pivotField>
    <pivotField dataField="1" compact="0" showAll="0"/>
    <pivotField dataField="1" compact="0" showAll="0"/>
  </pivotFields>
  <rowFields count="2">
    <field x="0"/>
    <field x="7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 v="2"/>
    </i>
    <i r="1">
      <x v="3"/>
    </i>
    <i>
      <x v="3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pen Balance" fld="9" numFmtId="164"/>
    <dataField name="Sum of Amount" fld="8" numFmtId="16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5" showRowHeaders="1" showColHeaders="1" showRowStripes="1" showColStripes="0" showLastColumn="1"/>
</pivotTableDefinition>
</file>

<file path=xl/pivotTables/pivotTable5.xml><?xml version="1.0" encoding="utf-8"?>
<pivotTableDefinition xmlns="http://schemas.openxmlformats.org/spreadsheetml/2006/main" name="TopVendorsPivot" cacheId="2" applyNumberFormats="0" applyBorderFormats="0" applyFontFormats="0" applyPatternFormats="0" applyAlignmentFormats="0" applyWidthHeightFormats="0" dataCaption="Values" updatedVersion="6" itemPrintTitles="1" indent="0" compact="0" outline="1" outlineData="1" compactData="0" chartFormat="1">
  <location ref="A5:B21" firstHeaderRow="1" firstDataRow="1" firstDataCol="1" rowPageCount="1" colPageCount="1"/>
  <pivotFields count="10">
    <pivotField axis="axisPage" compact="0" showAll="0">
      <items count="6">
        <item x="0"/>
        <item x="1"/>
        <item x="2"/>
        <item x="3"/>
        <item x="4"/>
        <item t="default"/>
      </items>
    </pivotField>
    <pivotField compact="0" showAll="0"/>
    <pivotField compact="0" showAll="0"/>
    <pivotField compact="0" showAll="0"/>
    <pivotField axis="axisRow" compact="0" showAll="0" autoShow="1" itemPageCount="15" rankBy="0">
      <items count="65">
        <item x="50"/>
        <item x="40"/>
        <item x="34"/>
        <item x="4"/>
        <item x="46"/>
        <item x="21"/>
        <item x="45"/>
        <item x="41"/>
        <item x="57"/>
        <item x="43"/>
        <item x="60"/>
        <item x="22"/>
        <item x="1"/>
        <item x="54"/>
        <item x="37"/>
        <item x="58"/>
        <item x="44"/>
        <item x="25"/>
        <item x="15"/>
        <item x="32"/>
        <item x="36"/>
        <item x="33"/>
        <item x="23"/>
        <item x="38"/>
        <item x="31"/>
        <item x="24"/>
        <item x="55"/>
        <item x="56"/>
        <item x="53"/>
        <item x="5"/>
        <item x="42"/>
        <item x="52"/>
        <item x="3"/>
        <item x="12"/>
        <item x="16"/>
        <item x="8"/>
        <item x="51"/>
        <item x="17"/>
        <item x="47"/>
        <item x="49"/>
        <item x="13"/>
        <item x="18"/>
        <item x="30"/>
        <item x="63"/>
        <item x="39"/>
        <item x="10"/>
        <item x="28"/>
        <item x="6"/>
        <item x="14"/>
        <item x="62"/>
        <item x="19"/>
        <item x="29"/>
        <item x="9"/>
        <item x="27"/>
        <item x="0"/>
        <item x="11"/>
        <item x="20"/>
        <item x="2"/>
        <item x="7"/>
        <item x="35"/>
        <item x="59"/>
        <item x="26"/>
        <item x="48"/>
        <item x="61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4"/>
  </rowFields>
  <rowItems count="16">
    <i>
      <x v="7"/>
    </i>
    <i>
      <x v="8"/>
    </i>
    <i>
      <x v="21"/>
    </i>
    <i>
      <x v="25"/>
    </i>
    <i>
      <x v="29"/>
    </i>
    <i>
      <x v="30"/>
    </i>
    <i>
      <x v="32"/>
    </i>
    <i>
      <x v="35"/>
    </i>
    <i>
      <x v="37"/>
    </i>
    <i>
      <x v="38"/>
    </i>
    <i>
      <x v="45"/>
    </i>
    <i>
      <x v="55"/>
    </i>
    <i>
      <x v="56"/>
    </i>
    <i>
      <x v="61"/>
    </i>
    <i>
      <x v="62"/>
    </i>
    <i t="grand">
      <x/>
    </i>
  </rowItems>
  <colItems count="1">
    <i/>
  </colItems>
  <pageFields count="1">
    <pageField fld="0" hier="-1"/>
  </pageFields>
  <dataFields count="1">
    <dataField name="Sum of Open Balance" fld="9" numFmtId="164"/>
  </dataFields>
  <chartFormats count="16">
    <chartFormat chart="0" format="65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66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67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0" format="68">
      <pivotArea type="data" outline="0" fieldPosition="0">
        <references count="2">
          <reference field="4294967294" count="1" selected="0">
            <x v="0"/>
          </reference>
          <reference field="4" count="1" selected="0">
            <x v="25"/>
          </reference>
        </references>
      </pivotArea>
    </chartFormat>
    <chartFormat chart="0" format="69">
      <pivotArea type="data" outline="0" fieldPosition="0">
        <references count="2">
          <reference field="4294967294" count="1" selected="0">
            <x v="0"/>
          </reference>
          <reference field="4" count="1" selected="0">
            <x v="29"/>
          </reference>
        </references>
      </pivotArea>
    </chartFormat>
    <chartFormat chart="0" format="70">
      <pivotArea type="data" outline="0" fieldPosition="0">
        <references count="2">
          <reference field="4294967294" count="1" selected="0">
            <x v="0"/>
          </reference>
          <reference field="4" count="1" selected="0">
            <x v="30"/>
          </reference>
        </references>
      </pivotArea>
    </chartFormat>
    <chartFormat chart="0" format="71">
      <pivotArea type="data" outline="0" fieldPosition="0">
        <references count="2">
          <reference field="4294967294" count="1" selected="0">
            <x v="0"/>
          </reference>
          <reference field="4" count="1" selected="0">
            <x v="32"/>
          </reference>
        </references>
      </pivotArea>
    </chartFormat>
    <chartFormat chart="0" format="72">
      <pivotArea type="data" outline="0" fieldPosition="0">
        <references count="2">
          <reference field="4294967294" count="1" selected="0">
            <x v="0"/>
          </reference>
          <reference field="4" count="1" selected="0">
            <x v="35"/>
          </reference>
        </references>
      </pivotArea>
    </chartFormat>
    <chartFormat chart="0" format="73">
      <pivotArea type="data" outline="0" fieldPosition="0">
        <references count="2">
          <reference field="4294967294" count="1" selected="0">
            <x v="0"/>
          </reference>
          <reference field="4" count="1" selected="0">
            <x v="37"/>
          </reference>
        </references>
      </pivotArea>
    </chartFormat>
    <chartFormat chart="0" format="74">
      <pivotArea type="data" outline="0" fieldPosition="0">
        <references count="2">
          <reference field="4294967294" count="1" selected="0">
            <x v="0"/>
          </reference>
          <reference field="4" count="1" selected="0">
            <x v="38"/>
          </reference>
        </references>
      </pivotArea>
    </chartFormat>
    <chartFormat chart="0" format="75">
      <pivotArea type="data" outline="0" fieldPosition="0">
        <references count="2">
          <reference field="4294967294" count="1" selected="0">
            <x v="0"/>
          </reference>
          <reference field="4" count="1" selected="0">
            <x v="45"/>
          </reference>
        </references>
      </pivotArea>
    </chartFormat>
    <chartFormat chart="0" format="76">
      <pivotArea type="data" outline="0" fieldPosition="0">
        <references count="2">
          <reference field="4294967294" count="1" selected="0">
            <x v="0"/>
          </reference>
          <reference field="4" count="1" selected="0">
            <x v="55"/>
          </reference>
        </references>
      </pivotArea>
    </chartFormat>
    <chartFormat chart="0" format="77">
      <pivotArea type="data" outline="0" fieldPosition="0">
        <references count="2">
          <reference field="4294967294" count="1" selected="0">
            <x v="0"/>
          </reference>
          <reference field="4" count="1" selected="0">
            <x v="56"/>
          </reference>
        </references>
      </pivotArea>
    </chartFormat>
    <chartFormat chart="0" format="78">
      <pivotArea type="data" outline="0" fieldPosition="0">
        <references count="2">
          <reference field="4294967294" count="1" selected="0">
            <x v="0"/>
          </reference>
          <reference field="4" count="1" selected="0">
            <x v="61"/>
          </reference>
        </references>
      </pivotArea>
    </chartFormat>
    <chartFormat chart="0" format="79">
      <pivotArea type="data" outline="0" fieldPosition="0">
        <references count="2">
          <reference field="4294967294" count="1" selected="0">
            <x v="0"/>
          </reference>
          <reference field="4" count="1" selected="0">
            <x v="62"/>
          </reference>
        </references>
      </pivotArea>
    </chartFormat>
    <chartFormat chart="0" format="8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65"/>
  <sheetViews>
    <sheetView showGridLines="0" zoomScaleNormal="100" workbookViewId="0">
      <pane ySplit="2" topLeftCell="A3" activePane="bottomLeft" state="frozen"/>
      <selection pane="bottomLeft" activeCell="B449" sqref="B449"/>
    </sheetView>
  </sheetViews>
  <sheetFormatPr defaultColWidth="8.6640625" defaultRowHeight="14.4" x14ac:dyDescent="0.3"/>
  <cols>
    <col min="1" max="1" width="35" style="1" customWidth="1"/>
    <col min="2" max="2" width="12" style="1" customWidth="1"/>
    <col min="3" max="3" width="18" style="1" customWidth="1"/>
    <col min="4" max="4" width="20" style="1" customWidth="1"/>
    <col min="5" max="5" width="40" style="1" customWidth="1"/>
    <col min="6" max="6" width="12" style="1" customWidth="1"/>
    <col min="7" max="7" width="10" style="1" customWidth="1"/>
    <col min="8" max="10" width="14" style="1" customWidth="1"/>
  </cols>
  <sheetData>
    <row r="2" spans="1:11" ht="21.75" customHeight="1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216</v>
      </c>
    </row>
    <row r="3" spans="1:11" x14ac:dyDescent="0.3">
      <c r="A3" s="5" t="s">
        <v>10</v>
      </c>
      <c r="B3" s="7">
        <v>44742</v>
      </c>
      <c r="C3" s="5" t="s">
        <v>11</v>
      </c>
      <c r="D3" s="5">
        <v>7488</v>
      </c>
      <c r="E3" s="5" t="s">
        <v>12</v>
      </c>
      <c r="F3" s="7">
        <v>44742</v>
      </c>
      <c r="G3" s="4">
        <v>387</v>
      </c>
      <c r="H3" s="5" t="s">
        <v>13</v>
      </c>
      <c r="I3" s="3">
        <v>1000</v>
      </c>
      <c r="J3" s="3">
        <v>1000</v>
      </c>
      <c r="K3">
        <f>IF(H3="91+ days",J3,0)</f>
        <v>1000</v>
      </c>
    </row>
    <row r="4" spans="1:11" x14ac:dyDescent="0.3">
      <c r="A4" s="5" t="s">
        <v>10</v>
      </c>
      <c r="B4" s="7">
        <v>44805</v>
      </c>
      <c r="C4" s="5" t="s">
        <v>11</v>
      </c>
      <c r="D4" s="5">
        <v>25779</v>
      </c>
      <c r="E4" s="5" t="s">
        <v>14</v>
      </c>
      <c r="F4" s="7">
        <v>44820</v>
      </c>
      <c r="G4" s="4">
        <v>309</v>
      </c>
      <c r="H4" s="5" t="s">
        <v>13</v>
      </c>
      <c r="I4" s="3">
        <v>300</v>
      </c>
      <c r="J4" s="3">
        <v>300</v>
      </c>
      <c r="K4">
        <f t="shared" ref="K4:K67" si="0">IF(H4="91+ days",J4,0)</f>
        <v>300</v>
      </c>
    </row>
    <row r="5" spans="1:11" x14ac:dyDescent="0.3">
      <c r="A5" s="5" t="s">
        <v>10</v>
      </c>
      <c r="B5" s="7">
        <v>44844</v>
      </c>
      <c r="C5" s="5" t="s">
        <v>11</v>
      </c>
      <c r="D5" s="5">
        <v>221013</v>
      </c>
      <c r="E5" s="5" t="s">
        <v>15</v>
      </c>
      <c r="F5" s="7">
        <v>44844</v>
      </c>
      <c r="G5" s="4">
        <v>285</v>
      </c>
      <c r="H5" s="5" t="s">
        <v>13</v>
      </c>
      <c r="I5" s="3">
        <v>1411</v>
      </c>
      <c r="J5" s="3">
        <v>1411</v>
      </c>
      <c r="K5">
        <f t="shared" si="0"/>
        <v>1411</v>
      </c>
    </row>
    <row r="6" spans="1:11" x14ac:dyDescent="0.3">
      <c r="A6" s="5" t="s">
        <v>10</v>
      </c>
      <c r="B6" s="7">
        <v>44844</v>
      </c>
      <c r="C6" s="5" t="s">
        <v>11</v>
      </c>
      <c r="D6" s="5">
        <v>221017</v>
      </c>
      <c r="E6" s="5" t="s">
        <v>15</v>
      </c>
      <c r="F6" s="7">
        <v>44844</v>
      </c>
      <c r="G6" s="4">
        <v>285</v>
      </c>
      <c r="H6" s="5" t="s">
        <v>13</v>
      </c>
      <c r="I6" s="3">
        <v>1000</v>
      </c>
      <c r="J6" s="3">
        <v>1000</v>
      </c>
      <c r="K6">
        <f t="shared" si="0"/>
        <v>1000</v>
      </c>
    </row>
    <row r="7" spans="1:11" x14ac:dyDescent="0.3">
      <c r="A7" s="5" t="s">
        <v>10</v>
      </c>
      <c r="B7" s="7">
        <v>44851</v>
      </c>
      <c r="C7" s="5" t="s">
        <v>11</v>
      </c>
      <c r="D7" s="5" t="s">
        <v>16</v>
      </c>
      <c r="E7" s="5" t="s">
        <v>17</v>
      </c>
      <c r="F7" s="7">
        <v>44851</v>
      </c>
      <c r="G7" s="4">
        <v>278</v>
      </c>
      <c r="H7" s="5" t="s">
        <v>13</v>
      </c>
      <c r="I7" s="3">
        <v>10723.96</v>
      </c>
      <c r="J7" s="3">
        <v>10723.96</v>
      </c>
      <c r="K7">
        <f t="shared" si="0"/>
        <v>10723.96</v>
      </c>
    </row>
    <row r="8" spans="1:11" x14ac:dyDescent="0.3">
      <c r="A8" s="5" t="s">
        <v>10</v>
      </c>
      <c r="B8" s="7">
        <v>44851</v>
      </c>
      <c r="C8" s="5" t="s">
        <v>11</v>
      </c>
      <c r="D8" s="5" t="s">
        <v>18</v>
      </c>
      <c r="E8" s="5" t="s">
        <v>17</v>
      </c>
      <c r="F8" s="7">
        <v>44851</v>
      </c>
      <c r="G8" s="4">
        <v>278</v>
      </c>
      <c r="H8" s="5" t="s">
        <v>13</v>
      </c>
      <c r="I8" s="3">
        <v>1599</v>
      </c>
      <c r="J8" s="3">
        <v>1599</v>
      </c>
      <c r="K8">
        <f t="shared" si="0"/>
        <v>1599</v>
      </c>
    </row>
    <row r="9" spans="1:11" x14ac:dyDescent="0.3">
      <c r="A9" s="5" t="s">
        <v>10</v>
      </c>
      <c r="B9" s="7">
        <v>44851</v>
      </c>
      <c r="C9" s="5" t="s">
        <v>11</v>
      </c>
      <c r="D9" s="5" t="s">
        <v>19</v>
      </c>
      <c r="E9" s="5" t="s">
        <v>17</v>
      </c>
      <c r="F9" s="7">
        <v>44851</v>
      </c>
      <c r="G9" s="4">
        <v>278</v>
      </c>
      <c r="H9" s="5" t="s">
        <v>13</v>
      </c>
      <c r="I9" s="3">
        <v>533</v>
      </c>
      <c r="J9" s="3">
        <v>533</v>
      </c>
      <c r="K9">
        <f t="shared" si="0"/>
        <v>533</v>
      </c>
    </row>
    <row r="10" spans="1:11" x14ac:dyDescent="0.3">
      <c r="A10" s="5" t="s">
        <v>10</v>
      </c>
      <c r="B10" s="7">
        <v>44880</v>
      </c>
      <c r="C10" s="5" t="s">
        <v>11</v>
      </c>
      <c r="D10" s="5" t="s">
        <v>20</v>
      </c>
      <c r="E10" s="5" t="s">
        <v>17</v>
      </c>
      <c r="F10" s="7">
        <v>44880</v>
      </c>
      <c r="G10" s="4">
        <v>249</v>
      </c>
      <c r="H10" s="5" t="s">
        <v>13</v>
      </c>
      <c r="I10" s="3">
        <v>6118.84</v>
      </c>
      <c r="J10" s="3">
        <v>6118.84</v>
      </c>
      <c r="K10">
        <f t="shared" si="0"/>
        <v>6118.84</v>
      </c>
    </row>
    <row r="11" spans="1:11" x14ac:dyDescent="0.3">
      <c r="A11" s="5" t="s">
        <v>10</v>
      </c>
      <c r="B11" s="7">
        <v>44880</v>
      </c>
      <c r="C11" s="5" t="s">
        <v>11</v>
      </c>
      <c r="D11" s="5" t="s">
        <v>21</v>
      </c>
      <c r="E11" s="5" t="s">
        <v>17</v>
      </c>
      <c r="F11" s="7">
        <v>44880</v>
      </c>
      <c r="G11" s="4">
        <v>249</v>
      </c>
      <c r="H11" s="5" t="s">
        <v>13</v>
      </c>
      <c r="I11" s="3">
        <v>932.75</v>
      </c>
      <c r="J11" s="3">
        <v>932.75</v>
      </c>
      <c r="K11">
        <f t="shared" si="0"/>
        <v>932.75</v>
      </c>
    </row>
    <row r="12" spans="1:11" x14ac:dyDescent="0.3">
      <c r="A12" s="5" t="s">
        <v>10</v>
      </c>
      <c r="B12" s="7">
        <v>44880</v>
      </c>
      <c r="C12" s="5" t="s">
        <v>11</v>
      </c>
      <c r="D12" s="5" t="s">
        <v>22</v>
      </c>
      <c r="E12" s="5" t="s">
        <v>17</v>
      </c>
      <c r="F12" s="7">
        <v>44880</v>
      </c>
      <c r="G12" s="4">
        <v>249</v>
      </c>
      <c r="H12" s="5" t="s">
        <v>13</v>
      </c>
      <c r="I12" s="3">
        <v>799.5</v>
      </c>
      <c r="J12" s="3">
        <v>799.5</v>
      </c>
      <c r="K12">
        <f t="shared" si="0"/>
        <v>799.5</v>
      </c>
    </row>
    <row r="13" spans="1:11" x14ac:dyDescent="0.3">
      <c r="A13" s="5" t="s">
        <v>10</v>
      </c>
      <c r="B13" s="7">
        <v>44866</v>
      </c>
      <c r="C13" s="5" t="s">
        <v>11</v>
      </c>
      <c r="D13" s="5">
        <v>26039</v>
      </c>
      <c r="E13" s="5" t="s">
        <v>14</v>
      </c>
      <c r="F13" s="7">
        <v>44881</v>
      </c>
      <c r="G13" s="4">
        <v>248</v>
      </c>
      <c r="H13" s="5" t="s">
        <v>13</v>
      </c>
      <c r="I13" s="3">
        <v>300</v>
      </c>
      <c r="J13" s="3">
        <v>300</v>
      </c>
      <c r="K13">
        <f t="shared" si="0"/>
        <v>300</v>
      </c>
    </row>
    <row r="14" spans="1:11" x14ac:dyDescent="0.3">
      <c r="A14" s="5" t="s">
        <v>10</v>
      </c>
      <c r="B14" s="7">
        <v>44910</v>
      </c>
      <c r="C14" s="5" t="s">
        <v>11</v>
      </c>
      <c r="D14" s="5" t="s">
        <v>23</v>
      </c>
      <c r="E14" s="5" t="s">
        <v>17</v>
      </c>
      <c r="F14" s="7">
        <v>44910</v>
      </c>
      <c r="G14" s="4">
        <v>219</v>
      </c>
      <c r="H14" s="5" t="s">
        <v>13</v>
      </c>
      <c r="I14" s="3">
        <v>6118.84</v>
      </c>
      <c r="J14" s="3">
        <v>6118.84</v>
      </c>
      <c r="K14">
        <f t="shared" si="0"/>
        <v>6118.84</v>
      </c>
    </row>
    <row r="15" spans="1:11" x14ac:dyDescent="0.3">
      <c r="A15" s="5" t="s">
        <v>10</v>
      </c>
      <c r="B15" s="7">
        <v>44910</v>
      </c>
      <c r="C15" s="5" t="s">
        <v>11</v>
      </c>
      <c r="D15" s="5" t="s">
        <v>24</v>
      </c>
      <c r="E15" s="5" t="s">
        <v>17</v>
      </c>
      <c r="F15" s="7">
        <v>44910</v>
      </c>
      <c r="G15" s="4">
        <v>219</v>
      </c>
      <c r="H15" s="5" t="s">
        <v>13</v>
      </c>
      <c r="I15" s="3">
        <v>932.75</v>
      </c>
      <c r="J15" s="3">
        <v>932.75</v>
      </c>
      <c r="K15">
        <f t="shared" si="0"/>
        <v>932.75</v>
      </c>
    </row>
    <row r="16" spans="1:11" x14ac:dyDescent="0.3">
      <c r="A16" s="5" t="s">
        <v>10</v>
      </c>
      <c r="B16" s="7">
        <v>44941</v>
      </c>
      <c r="C16" s="5" t="s">
        <v>11</v>
      </c>
      <c r="D16" s="5" t="s">
        <v>25</v>
      </c>
      <c r="E16" s="5" t="s">
        <v>17</v>
      </c>
      <c r="F16" s="7">
        <v>44941</v>
      </c>
      <c r="G16" s="4">
        <v>188</v>
      </c>
      <c r="H16" s="5" t="s">
        <v>13</v>
      </c>
      <c r="I16" s="3">
        <v>6118.84</v>
      </c>
      <c r="J16" s="3">
        <v>6118.84</v>
      </c>
      <c r="K16">
        <f t="shared" si="0"/>
        <v>6118.84</v>
      </c>
    </row>
    <row r="17" spans="1:11" x14ac:dyDescent="0.3">
      <c r="A17" s="5" t="s">
        <v>10</v>
      </c>
      <c r="B17" s="7">
        <v>44972</v>
      </c>
      <c r="C17" s="5" t="s">
        <v>11</v>
      </c>
      <c r="D17" s="5">
        <v>71021740</v>
      </c>
      <c r="E17" s="5" t="s">
        <v>17</v>
      </c>
      <c r="F17" s="7">
        <v>44972</v>
      </c>
      <c r="G17" s="4">
        <v>157</v>
      </c>
      <c r="H17" s="5" t="s">
        <v>13</v>
      </c>
      <c r="I17" s="3">
        <v>6118.84</v>
      </c>
      <c r="J17" s="3">
        <v>6118.84</v>
      </c>
      <c r="K17">
        <f t="shared" si="0"/>
        <v>6118.84</v>
      </c>
    </row>
    <row r="18" spans="1:11" x14ac:dyDescent="0.3">
      <c r="A18" s="5" t="s">
        <v>10</v>
      </c>
      <c r="B18" s="7">
        <v>45000</v>
      </c>
      <c r="C18" s="5" t="s">
        <v>11</v>
      </c>
      <c r="D18" s="5" t="s">
        <v>26</v>
      </c>
      <c r="E18" s="5" t="s">
        <v>17</v>
      </c>
      <c r="F18" s="7">
        <v>45000</v>
      </c>
      <c r="G18" s="4">
        <v>129</v>
      </c>
      <c r="H18" s="5" t="s">
        <v>13</v>
      </c>
      <c r="I18" s="3">
        <v>6118.84</v>
      </c>
      <c r="J18" s="3">
        <v>6118.84</v>
      </c>
      <c r="K18">
        <f t="shared" si="0"/>
        <v>6118.84</v>
      </c>
    </row>
    <row r="19" spans="1:11" x14ac:dyDescent="0.3">
      <c r="A19" s="5" t="s">
        <v>10</v>
      </c>
      <c r="B19" s="7">
        <v>44986</v>
      </c>
      <c r="C19" s="5" t="s">
        <v>11</v>
      </c>
      <c r="D19" s="5">
        <v>26505</v>
      </c>
      <c r="E19" s="5" t="s">
        <v>14</v>
      </c>
      <c r="F19" s="7">
        <v>45001</v>
      </c>
      <c r="G19" s="4">
        <v>128</v>
      </c>
      <c r="H19" s="5" t="s">
        <v>13</v>
      </c>
      <c r="I19" s="3">
        <v>300</v>
      </c>
      <c r="J19" s="3">
        <v>300</v>
      </c>
      <c r="K19">
        <f t="shared" si="0"/>
        <v>300</v>
      </c>
    </row>
    <row r="20" spans="1:11" x14ac:dyDescent="0.3">
      <c r="A20" s="5" t="s">
        <v>10</v>
      </c>
      <c r="B20" s="7">
        <v>45030</v>
      </c>
      <c r="C20" s="5" t="s">
        <v>11</v>
      </c>
      <c r="D20" s="5" t="s">
        <v>27</v>
      </c>
      <c r="E20" s="5" t="s">
        <v>17</v>
      </c>
      <c r="F20" s="7">
        <v>45030</v>
      </c>
      <c r="G20" s="4">
        <v>99</v>
      </c>
      <c r="H20" s="5" t="s">
        <v>13</v>
      </c>
      <c r="I20" s="3">
        <v>6118.84</v>
      </c>
      <c r="J20" s="3">
        <v>6118.84</v>
      </c>
      <c r="K20">
        <f t="shared" si="0"/>
        <v>6118.84</v>
      </c>
    </row>
    <row r="21" spans="1:11" x14ac:dyDescent="0.3">
      <c r="A21" s="5" t="s">
        <v>10</v>
      </c>
      <c r="B21" s="7">
        <v>45061</v>
      </c>
      <c r="C21" s="5" t="s">
        <v>11</v>
      </c>
      <c r="D21" s="5" t="s">
        <v>28</v>
      </c>
      <c r="E21" s="5" t="s">
        <v>17</v>
      </c>
      <c r="F21" s="7">
        <v>45061</v>
      </c>
      <c r="G21" s="4">
        <v>68</v>
      </c>
      <c r="H21" s="5" t="s">
        <v>29</v>
      </c>
      <c r="I21" s="3">
        <v>6118.84</v>
      </c>
      <c r="J21" s="3">
        <v>6118.84</v>
      </c>
      <c r="K21">
        <f t="shared" si="0"/>
        <v>0</v>
      </c>
    </row>
    <row r="22" spans="1:11" x14ac:dyDescent="0.3">
      <c r="A22" s="5" t="s">
        <v>10</v>
      </c>
      <c r="B22" s="7">
        <v>45092</v>
      </c>
      <c r="C22" s="5" t="s">
        <v>11</v>
      </c>
      <c r="D22" s="5" t="s">
        <v>30</v>
      </c>
      <c r="E22" s="5" t="s">
        <v>17</v>
      </c>
      <c r="F22" s="7">
        <v>45092</v>
      </c>
      <c r="G22" s="4">
        <v>37</v>
      </c>
      <c r="H22" s="5" t="s">
        <v>31</v>
      </c>
      <c r="I22" s="3">
        <v>6118.84</v>
      </c>
      <c r="J22" s="3">
        <v>6118.84</v>
      </c>
      <c r="K22">
        <f t="shared" si="0"/>
        <v>0</v>
      </c>
    </row>
    <row r="23" spans="1:11" x14ac:dyDescent="0.3">
      <c r="A23" s="5" t="s">
        <v>10</v>
      </c>
      <c r="B23" s="7">
        <v>45121</v>
      </c>
      <c r="C23" s="5" t="s">
        <v>11</v>
      </c>
      <c r="D23" s="5" t="s">
        <v>32</v>
      </c>
      <c r="E23" s="5" t="s">
        <v>17</v>
      </c>
      <c r="F23" s="7">
        <v>45121</v>
      </c>
      <c r="G23" s="4">
        <v>8</v>
      </c>
      <c r="H23" s="5" t="s">
        <v>33</v>
      </c>
      <c r="I23" s="3">
        <v>6302.41</v>
      </c>
      <c r="J23" s="3">
        <v>6302.41</v>
      </c>
      <c r="K23">
        <f t="shared" si="0"/>
        <v>0</v>
      </c>
    </row>
    <row r="24" spans="1:11" x14ac:dyDescent="0.3">
      <c r="A24" s="5" t="s">
        <v>34</v>
      </c>
      <c r="B24" s="7">
        <v>44561</v>
      </c>
      <c r="C24" s="5" t="s">
        <v>11</v>
      </c>
      <c r="D24" s="5" t="s">
        <v>35</v>
      </c>
      <c r="E24" s="5" t="s">
        <v>36</v>
      </c>
      <c r="F24" s="7">
        <v>44561</v>
      </c>
      <c r="G24" s="4">
        <v>568</v>
      </c>
      <c r="H24" s="5" t="s">
        <v>13</v>
      </c>
      <c r="I24" s="3">
        <v>2172</v>
      </c>
      <c r="J24" s="3">
        <v>2172</v>
      </c>
      <c r="K24">
        <f t="shared" si="0"/>
        <v>2172</v>
      </c>
    </row>
    <row r="25" spans="1:11" x14ac:dyDescent="0.3">
      <c r="A25" s="5" t="s">
        <v>34</v>
      </c>
      <c r="B25" s="7">
        <v>44592</v>
      </c>
      <c r="C25" s="5" t="s">
        <v>11</v>
      </c>
      <c r="D25" s="5" t="s">
        <v>37</v>
      </c>
      <c r="E25" s="5" t="s">
        <v>36</v>
      </c>
      <c r="F25" s="7">
        <v>44592</v>
      </c>
      <c r="G25" s="4">
        <v>537</v>
      </c>
      <c r="H25" s="5" t="s">
        <v>13</v>
      </c>
      <c r="I25" s="3">
        <v>2381.5</v>
      </c>
      <c r="J25" s="3">
        <v>2381.5</v>
      </c>
      <c r="K25">
        <f t="shared" si="0"/>
        <v>2381.5</v>
      </c>
    </row>
    <row r="26" spans="1:11" x14ac:dyDescent="0.3">
      <c r="A26" s="5" t="s">
        <v>34</v>
      </c>
      <c r="B26" s="7">
        <v>44620</v>
      </c>
      <c r="C26" s="5" t="s">
        <v>11</v>
      </c>
      <c r="D26" s="5" t="s">
        <v>38</v>
      </c>
      <c r="E26" s="5" t="s">
        <v>36</v>
      </c>
      <c r="F26" s="7">
        <v>44620</v>
      </c>
      <c r="G26" s="4">
        <v>509</v>
      </c>
      <c r="H26" s="5" t="s">
        <v>13</v>
      </c>
      <c r="I26" s="3">
        <v>414</v>
      </c>
      <c r="J26" s="3">
        <v>414</v>
      </c>
      <c r="K26">
        <f t="shared" si="0"/>
        <v>414</v>
      </c>
    </row>
    <row r="27" spans="1:11" x14ac:dyDescent="0.3">
      <c r="A27" s="5" t="s">
        <v>34</v>
      </c>
      <c r="B27" s="7">
        <v>44651</v>
      </c>
      <c r="C27" s="5" t="s">
        <v>11</v>
      </c>
      <c r="D27" s="5" t="s">
        <v>39</v>
      </c>
      <c r="E27" s="5" t="s">
        <v>36</v>
      </c>
      <c r="F27" s="7">
        <v>44651</v>
      </c>
      <c r="G27" s="4">
        <v>478</v>
      </c>
      <c r="H27" s="5" t="s">
        <v>13</v>
      </c>
      <c r="I27" s="3">
        <v>6668</v>
      </c>
      <c r="J27" s="3">
        <v>6668</v>
      </c>
      <c r="K27">
        <f t="shared" si="0"/>
        <v>6668</v>
      </c>
    </row>
    <row r="28" spans="1:11" x14ac:dyDescent="0.3">
      <c r="A28" s="5" t="s">
        <v>34</v>
      </c>
      <c r="B28" s="7">
        <v>44671</v>
      </c>
      <c r="C28" s="5" t="s">
        <v>11</v>
      </c>
      <c r="D28" s="5">
        <v>3456</v>
      </c>
      <c r="E28" s="5" t="s">
        <v>40</v>
      </c>
      <c r="F28" s="7">
        <v>44671</v>
      </c>
      <c r="G28" s="4">
        <v>458</v>
      </c>
      <c r="H28" s="5" t="s">
        <v>13</v>
      </c>
      <c r="I28" s="3">
        <v>1662.75</v>
      </c>
      <c r="J28" s="3">
        <v>1662.75</v>
      </c>
      <c r="K28">
        <f t="shared" si="0"/>
        <v>1662.75</v>
      </c>
    </row>
    <row r="29" spans="1:11" x14ac:dyDescent="0.3">
      <c r="A29" s="5" t="s">
        <v>34</v>
      </c>
      <c r="B29" s="7">
        <v>44651</v>
      </c>
      <c r="C29" s="5" t="s">
        <v>11</v>
      </c>
      <c r="D29" s="5" t="s">
        <v>41</v>
      </c>
      <c r="E29" s="5" t="s">
        <v>42</v>
      </c>
      <c r="F29" s="7">
        <v>44681</v>
      </c>
      <c r="G29" s="4">
        <v>448</v>
      </c>
      <c r="H29" s="5" t="s">
        <v>13</v>
      </c>
      <c r="I29" s="3">
        <v>2760.38</v>
      </c>
      <c r="J29" s="3">
        <v>2760.38</v>
      </c>
      <c r="K29">
        <f t="shared" si="0"/>
        <v>2760.38</v>
      </c>
    </row>
    <row r="30" spans="1:11" x14ac:dyDescent="0.3">
      <c r="A30" s="5" t="s">
        <v>34</v>
      </c>
      <c r="B30" s="7">
        <v>44681</v>
      </c>
      <c r="C30" s="5" t="s">
        <v>11</v>
      </c>
      <c r="D30" s="5" t="s">
        <v>43</v>
      </c>
      <c r="E30" s="5" t="s">
        <v>36</v>
      </c>
      <c r="F30" s="7">
        <v>44681</v>
      </c>
      <c r="G30" s="4">
        <v>448</v>
      </c>
      <c r="H30" s="5" t="s">
        <v>13</v>
      </c>
      <c r="I30" s="3">
        <v>5666</v>
      </c>
      <c r="J30" s="3">
        <v>5666</v>
      </c>
      <c r="K30">
        <f t="shared" si="0"/>
        <v>5666</v>
      </c>
    </row>
    <row r="31" spans="1:11" x14ac:dyDescent="0.3">
      <c r="A31" s="5" t="s">
        <v>34</v>
      </c>
      <c r="B31" s="7">
        <v>44686</v>
      </c>
      <c r="C31" s="5" t="s">
        <v>11</v>
      </c>
      <c r="D31" s="5">
        <v>3499</v>
      </c>
      <c r="E31" s="5" t="s">
        <v>40</v>
      </c>
      <c r="F31" s="7">
        <v>44686</v>
      </c>
      <c r="G31" s="4">
        <v>443</v>
      </c>
      <c r="H31" s="5" t="s">
        <v>13</v>
      </c>
      <c r="I31" s="3">
        <v>700</v>
      </c>
      <c r="J31" s="3">
        <v>700</v>
      </c>
      <c r="K31">
        <f t="shared" si="0"/>
        <v>700</v>
      </c>
    </row>
    <row r="32" spans="1:11" x14ac:dyDescent="0.3">
      <c r="A32" s="5" t="s">
        <v>34</v>
      </c>
      <c r="B32" s="7">
        <v>44683</v>
      </c>
      <c r="C32" s="5" t="s">
        <v>11</v>
      </c>
      <c r="D32" s="5" t="s">
        <v>44</v>
      </c>
      <c r="E32" s="5" t="s">
        <v>42</v>
      </c>
      <c r="F32" s="7">
        <v>44713</v>
      </c>
      <c r="G32" s="4">
        <v>416</v>
      </c>
      <c r="H32" s="5" t="s">
        <v>13</v>
      </c>
      <c r="I32" s="3">
        <v>4240</v>
      </c>
      <c r="J32" s="3">
        <v>4240</v>
      </c>
      <c r="K32">
        <f t="shared" si="0"/>
        <v>4240</v>
      </c>
    </row>
    <row r="33" spans="1:11" x14ac:dyDescent="0.3">
      <c r="A33" s="5" t="s">
        <v>34</v>
      </c>
      <c r="B33" s="7">
        <v>44708</v>
      </c>
      <c r="C33" s="5" t="s">
        <v>11</v>
      </c>
      <c r="D33" s="5" t="s">
        <v>45</v>
      </c>
      <c r="E33" s="5" t="s">
        <v>46</v>
      </c>
      <c r="F33" s="7">
        <v>44738</v>
      </c>
      <c r="G33" s="4">
        <v>391</v>
      </c>
      <c r="H33" s="5" t="s">
        <v>13</v>
      </c>
      <c r="I33" s="3">
        <v>280</v>
      </c>
      <c r="J33" s="3">
        <v>280</v>
      </c>
      <c r="K33">
        <f t="shared" si="0"/>
        <v>280</v>
      </c>
    </row>
    <row r="34" spans="1:11" x14ac:dyDescent="0.3">
      <c r="A34" s="5" t="s">
        <v>34</v>
      </c>
      <c r="B34" s="7">
        <v>44714</v>
      </c>
      <c r="C34" s="5" t="s">
        <v>11</v>
      </c>
      <c r="D34" s="5">
        <v>17304</v>
      </c>
      <c r="E34" s="5" t="s">
        <v>47</v>
      </c>
      <c r="F34" s="7">
        <v>44742</v>
      </c>
      <c r="G34" s="4">
        <v>387</v>
      </c>
      <c r="H34" s="5" t="s">
        <v>13</v>
      </c>
      <c r="I34" s="3">
        <v>4250</v>
      </c>
      <c r="J34" s="3">
        <v>4250</v>
      </c>
      <c r="K34">
        <f t="shared" si="0"/>
        <v>4250</v>
      </c>
    </row>
    <row r="35" spans="1:11" x14ac:dyDescent="0.3">
      <c r="A35" s="5" t="s">
        <v>34</v>
      </c>
      <c r="B35" s="7">
        <v>44742</v>
      </c>
      <c r="C35" s="5" t="s">
        <v>11</v>
      </c>
      <c r="D35" s="5" t="s">
        <v>48</v>
      </c>
      <c r="E35" s="5" t="s">
        <v>36</v>
      </c>
      <c r="F35" s="7">
        <v>44742</v>
      </c>
      <c r="G35" s="4">
        <v>387</v>
      </c>
      <c r="H35" s="5" t="s">
        <v>13</v>
      </c>
      <c r="I35" s="3">
        <v>5959.5</v>
      </c>
      <c r="J35" s="3">
        <v>5959.5</v>
      </c>
      <c r="K35">
        <f t="shared" si="0"/>
        <v>5959.5</v>
      </c>
    </row>
    <row r="36" spans="1:11" x14ac:dyDescent="0.3">
      <c r="A36" s="5" t="s">
        <v>34</v>
      </c>
      <c r="B36" s="7">
        <v>44755</v>
      </c>
      <c r="C36" s="5" t="s">
        <v>11</v>
      </c>
      <c r="D36" s="5" t="s">
        <v>49</v>
      </c>
      <c r="E36" s="5" t="s">
        <v>50</v>
      </c>
      <c r="F36" s="7">
        <v>44755</v>
      </c>
      <c r="G36" s="4">
        <v>374</v>
      </c>
      <c r="H36" s="5" t="s">
        <v>13</v>
      </c>
      <c r="I36" s="3">
        <v>450</v>
      </c>
      <c r="J36" s="3">
        <v>450</v>
      </c>
      <c r="K36">
        <f t="shared" si="0"/>
        <v>450</v>
      </c>
    </row>
    <row r="37" spans="1:11" x14ac:dyDescent="0.3">
      <c r="A37" s="5" t="s">
        <v>34</v>
      </c>
      <c r="B37" s="7">
        <v>44739</v>
      </c>
      <c r="C37" s="5" t="s">
        <v>11</v>
      </c>
      <c r="D37" s="5" t="s">
        <v>51</v>
      </c>
      <c r="E37" s="5" t="s">
        <v>46</v>
      </c>
      <c r="F37" s="7">
        <v>44769</v>
      </c>
      <c r="G37" s="4">
        <v>360</v>
      </c>
      <c r="H37" s="5" t="s">
        <v>13</v>
      </c>
      <c r="I37" s="3">
        <v>280</v>
      </c>
      <c r="J37" s="3">
        <v>280</v>
      </c>
      <c r="K37">
        <f t="shared" si="0"/>
        <v>280</v>
      </c>
    </row>
    <row r="38" spans="1:11" x14ac:dyDescent="0.3">
      <c r="A38" s="5" t="s">
        <v>34</v>
      </c>
      <c r="B38" s="7">
        <v>44770</v>
      </c>
      <c r="C38" s="5" t="s">
        <v>11</v>
      </c>
      <c r="D38" s="5">
        <v>81846</v>
      </c>
      <c r="E38" s="5" t="s">
        <v>52</v>
      </c>
      <c r="F38" s="7">
        <v>44780</v>
      </c>
      <c r="G38" s="4">
        <v>349</v>
      </c>
      <c r="H38" s="5" t="s">
        <v>13</v>
      </c>
      <c r="I38" s="3">
        <v>53611.56</v>
      </c>
      <c r="J38" s="3">
        <v>53611.56</v>
      </c>
      <c r="K38">
        <f t="shared" si="0"/>
        <v>53611.56</v>
      </c>
    </row>
    <row r="39" spans="1:11" x14ac:dyDescent="0.3">
      <c r="A39" s="5" t="s">
        <v>34</v>
      </c>
      <c r="B39" s="7">
        <v>44771</v>
      </c>
      <c r="C39" s="5" t="s">
        <v>11</v>
      </c>
      <c r="D39" s="5">
        <v>82006</v>
      </c>
      <c r="E39" s="5" t="s">
        <v>52</v>
      </c>
      <c r="F39" s="7">
        <v>44781</v>
      </c>
      <c r="G39" s="4">
        <v>348</v>
      </c>
      <c r="H39" s="5" t="s">
        <v>13</v>
      </c>
      <c r="I39" s="3">
        <v>42166.11</v>
      </c>
      <c r="J39" s="3">
        <v>42166.11</v>
      </c>
      <c r="K39">
        <f t="shared" si="0"/>
        <v>42166.11</v>
      </c>
    </row>
    <row r="40" spans="1:11" x14ac:dyDescent="0.3">
      <c r="A40" s="5" t="s">
        <v>34</v>
      </c>
      <c r="B40" s="7">
        <v>44771</v>
      </c>
      <c r="C40" s="5" t="s">
        <v>11</v>
      </c>
      <c r="D40" s="5">
        <v>82076</v>
      </c>
      <c r="E40" s="5" t="s">
        <v>52</v>
      </c>
      <c r="F40" s="7">
        <v>44781</v>
      </c>
      <c r="G40" s="4">
        <v>348</v>
      </c>
      <c r="H40" s="5" t="s">
        <v>13</v>
      </c>
      <c r="I40" s="3">
        <v>38578.480000000003</v>
      </c>
      <c r="J40" s="3">
        <v>38578.480000000003</v>
      </c>
      <c r="K40">
        <f t="shared" si="0"/>
        <v>38578.480000000003</v>
      </c>
    </row>
    <row r="41" spans="1:11" x14ac:dyDescent="0.3">
      <c r="A41" s="5" t="s">
        <v>34</v>
      </c>
      <c r="B41" s="7">
        <v>44771</v>
      </c>
      <c r="C41" s="5" t="s">
        <v>11</v>
      </c>
      <c r="D41" s="5">
        <v>82170</v>
      </c>
      <c r="E41" s="5" t="s">
        <v>52</v>
      </c>
      <c r="F41" s="7">
        <v>44781</v>
      </c>
      <c r="G41" s="4">
        <v>348</v>
      </c>
      <c r="H41" s="5" t="s">
        <v>13</v>
      </c>
      <c r="I41" s="3">
        <v>15873.78</v>
      </c>
      <c r="J41" s="3">
        <v>15873.78</v>
      </c>
      <c r="K41">
        <f t="shared" si="0"/>
        <v>15873.78</v>
      </c>
    </row>
    <row r="42" spans="1:11" x14ac:dyDescent="0.3">
      <c r="A42" s="5" t="s">
        <v>34</v>
      </c>
      <c r="B42" s="7">
        <v>44756</v>
      </c>
      <c r="C42" s="5" t="s">
        <v>11</v>
      </c>
      <c r="D42" s="5">
        <v>22059</v>
      </c>
      <c r="E42" s="5" t="s">
        <v>53</v>
      </c>
      <c r="F42" s="7">
        <v>44786</v>
      </c>
      <c r="G42" s="4">
        <v>343</v>
      </c>
      <c r="H42" s="5" t="s">
        <v>13</v>
      </c>
      <c r="I42" s="3">
        <v>55</v>
      </c>
      <c r="J42" s="3">
        <v>55</v>
      </c>
      <c r="K42">
        <f t="shared" si="0"/>
        <v>55</v>
      </c>
    </row>
    <row r="43" spans="1:11" x14ac:dyDescent="0.3">
      <c r="A43" s="5" t="s">
        <v>34</v>
      </c>
      <c r="B43" s="7">
        <v>44790</v>
      </c>
      <c r="C43" s="5" t="s">
        <v>11</v>
      </c>
      <c r="D43" s="5">
        <v>918</v>
      </c>
      <c r="E43" s="5" t="s">
        <v>54</v>
      </c>
      <c r="F43" s="7">
        <v>44790</v>
      </c>
      <c r="G43" s="4">
        <v>339</v>
      </c>
      <c r="H43" s="5" t="s">
        <v>13</v>
      </c>
      <c r="I43" s="3">
        <v>3500</v>
      </c>
      <c r="J43" s="3">
        <v>3500</v>
      </c>
      <c r="K43">
        <f t="shared" si="0"/>
        <v>3500</v>
      </c>
    </row>
    <row r="44" spans="1:11" x14ac:dyDescent="0.3">
      <c r="A44" s="5" t="s">
        <v>34</v>
      </c>
      <c r="B44" s="7">
        <v>44784</v>
      </c>
      <c r="C44" s="5" t="s">
        <v>11</v>
      </c>
      <c r="D44" s="5">
        <v>83434</v>
      </c>
      <c r="E44" s="5" t="s">
        <v>52</v>
      </c>
      <c r="F44" s="7">
        <v>44794</v>
      </c>
      <c r="G44" s="4">
        <v>335</v>
      </c>
      <c r="H44" s="5" t="s">
        <v>13</v>
      </c>
      <c r="I44" s="3">
        <v>583</v>
      </c>
      <c r="J44" s="3">
        <v>583</v>
      </c>
      <c r="K44">
        <f t="shared" si="0"/>
        <v>583</v>
      </c>
    </row>
    <row r="45" spans="1:11" x14ac:dyDescent="0.3">
      <c r="A45" s="5" t="s">
        <v>34</v>
      </c>
      <c r="B45" s="7">
        <v>44769</v>
      </c>
      <c r="C45" s="5" t="s">
        <v>11</v>
      </c>
      <c r="D45" s="5" t="s">
        <v>55</v>
      </c>
      <c r="E45" s="5" t="s">
        <v>46</v>
      </c>
      <c r="F45" s="7">
        <v>44799</v>
      </c>
      <c r="G45" s="4">
        <v>330</v>
      </c>
      <c r="H45" s="5" t="s">
        <v>13</v>
      </c>
      <c r="I45" s="3">
        <v>280</v>
      </c>
      <c r="J45" s="3">
        <v>280</v>
      </c>
      <c r="K45">
        <f t="shared" si="0"/>
        <v>280</v>
      </c>
    </row>
    <row r="46" spans="1:11" x14ac:dyDescent="0.3">
      <c r="A46" s="5" t="s">
        <v>34</v>
      </c>
      <c r="B46" s="7">
        <v>44791</v>
      </c>
      <c r="C46" s="5" t="s">
        <v>11</v>
      </c>
      <c r="D46" s="5">
        <v>84256</v>
      </c>
      <c r="E46" s="5" t="s">
        <v>52</v>
      </c>
      <c r="F46" s="7">
        <v>44801</v>
      </c>
      <c r="G46" s="4">
        <v>328</v>
      </c>
      <c r="H46" s="5" t="s">
        <v>13</v>
      </c>
      <c r="I46" s="3">
        <v>57210.13</v>
      </c>
      <c r="J46" s="3">
        <v>57210.13</v>
      </c>
      <c r="K46">
        <f t="shared" si="0"/>
        <v>57210.13</v>
      </c>
    </row>
    <row r="47" spans="1:11" x14ac:dyDescent="0.3">
      <c r="A47" s="5" t="s">
        <v>34</v>
      </c>
      <c r="B47" s="7">
        <v>44801</v>
      </c>
      <c r="C47" s="5" t="s">
        <v>11</v>
      </c>
      <c r="D47" s="5">
        <v>220801</v>
      </c>
      <c r="E47" s="5" t="s">
        <v>15</v>
      </c>
      <c r="F47" s="7">
        <v>44801</v>
      </c>
      <c r="G47" s="4">
        <v>328</v>
      </c>
      <c r="H47" s="5" t="s">
        <v>13</v>
      </c>
      <c r="I47" s="3">
        <v>1125</v>
      </c>
      <c r="J47" s="3">
        <v>1125</v>
      </c>
      <c r="K47">
        <f t="shared" si="0"/>
        <v>1125</v>
      </c>
    </row>
    <row r="48" spans="1:11" x14ac:dyDescent="0.3">
      <c r="A48" s="5" t="s">
        <v>34</v>
      </c>
      <c r="B48" s="7">
        <v>44793</v>
      </c>
      <c r="C48" s="5" t="s">
        <v>11</v>
      </c>
      <c r="D48" s="5">
        <v>84496</v>
      </c>
      <c r="E48" s="5" t="s">
        <v>52</v>
      </c>
      <c r="F48" s="7">
        <v>44803</v>
      </c>
      <c r="G48" s="4">
        <v>326</v>
      </c>
      <c r="H48" s="5" t="s">
        <v>13</v>
      </c>
      <c r="I48" s="3">
        <v>9118.98</v>
      </c>
      <c r="J48" s="3">
        <v>9118.98</v>
      </c>
      <c r="K48">
        <f t="shared" si="0"/>
        <v>9118.98</v>
      </c>
    </row>
    <row r="49" spans="1:11" x14ac:dyDescent="0.3">
      <c r="A49" s="5" t="s">
        <v>34</v>
      </c>
      <c r="B49" s="7">
        <v>44790</v>
      </c>
      <c r="C49" s="5" t="s">
        <v>11</v>
      </c>
      <c r="D49" s="5" t="s">
        <v>56</v>
      </c>
      <c r="E49" s="5" t="s">
        <v>57</v>
      </c>
      <c r="F49" s="7">
        <v>44805</v>
      </c>
      <c r="G49" s="4">
        <v>324</v>
      </c>
      <c r="H49" s="5" t="s">
        <v>13</v>
      </c>
      <c r="I49" s="3">
        <v>12825</v>
      </c>
      <c r="J49" s="3">
        <v>12825</v>
      </c>
      <c r="K49">
        <f t="shared" si="0"/>
        <v>12825</v>
      </c>
    </row>
    <row r="50" spans="1:11" x14ac:dyDescent="0.3">
      <c r="A50" s="5" t="s">
        <v>34</v>
      </c>
      <c r="B50" s="7">
        <v>44795</v>
      </c>
      <c r="C50" s="5" t="s">
        <v>11</v>
      </c>
      <c r="D50" s="5">
        <v>84586</v>
      </c>
      <c r="E50" s="5" t="s">
        <v>52</v>
      </c>
      <c r="F50" s="7">
        <v>44805</v>
      </c>
      <c r="G50" s="4">
        <v>324</v>
      </c>
      <c r="H50" s="5" t="s">
        <v>13</v>
      </c>
      <c r="I50" s="3">
        <v>276.25</v>
      </c>
      <c r="J50" s="3">
        <v>276.25</v>
      </c>
      <c r="K50">
        <f t="shared" si="0"/>
        <v>276.25</v>
      </c>
    </row>
    <row r="51" spans="1:11" x14ac:dyDescent="0.3">
      <c r="A51" s="5" t="s">
        <v>34</v>
      </c>
      <c r="B51" s="7">
        <v>44798</v>
      </c>
      <c r="C51" s="5" t="s">
        <v>11</v>
      </c>
      <c r="D51" s="5">
        <v>85056</v>
      </c>
      <c r="E51" s="5" t="s">
        <v>52</v>
      </c>
      <c r="F51" s="7">
        <v>44808</v>
      </c>
      <c r="G51" s="4">
        <v>321</v>
      </c>
      <c r="H51" s="5" t="s">
        <v>13</v>
      </c>
      <c r="I51" s="3">
        <v>52990.54</v>
      </c>
      <c r="J51" s="3">
        <v>52990.54</v>
      </c>
      <c r="K51">
        <f t="shared" si="0"/>
        <v>52990.54</v>
      </c>
    </row>
    <row r="52" spans="1:11" x14ac:dyDescent="0.3">
      <c r="A52" s="5" t="s">
        <v>34</v>
      </c>
      <c r="B52" s="7">
        <v>44799</v>
      </c>
      <c r="C52" s="5" t="s">
        <v>11</v>
      </c>
      <c r="D52" s="5">
        <v>85247</v>
      </c>
      <c r="E52" s="5" t="s">
        <v>52</v>
      </c>
      <c r="F52" s="7">
        <v>44809</v>
      </c>
      <c r="G52" s="4">
        <v>320</v>
      </c>
      <c r="H52" s="5" t="s">
        <v>13</v>
      </c>
      <c r="I52" s="3">
        <v>4222.57</v>
      </c>
      <c r="J52" s="3">
        <v>4222.57</v>
      </c>
      <c r="K52">
        <f t="shared" si="0"/>
        <v>4222.57</v>
      </c>
    </row>
    <row r="53" spans="1:11" x14ac:dyDescent="0.3">
      <c r="A53" s="5" t="s">
        <v>34</v>
      </c>
      <c r="B53" s="7">
        <v>44803</v>
      </c>
      <c r="C53" s="5" t="s">
        <v>11</v>
      </c>
      <c r="D53" s="5">
        <v>85658</v>
      </c>
      <c r="E53" s="5" t="s">
        <v>52</v>
      </c>
      <c r="F53" s="7">
        <v>44813</v>
      </c>
      <c r="G53" s="4">
        <v>316</v>
      </c>
      <c r="H53" s="5" t="s">
        <v>13</v>
      </c>
      <c r="I53" s="3">
        <v>6106.85</v>
      </c>
      <c r="J53" s="3">
        <v>6106.85</v>
      </c>
      <c r="K53">
        <f t="shared" si="0"/>
        <v>6106.85</v>
      </c>
    </row>
    <row r="54" spans="1:11" x14ac:dyDescent="0.3">
      <c r="A54" s="5" t="s">
        <v>34</v>
      </c>
      <c r="B54" s="7">
        <v>44822</v>
      </c>
      <c r="C54" s="5" t="s">
        <v>11</v>
      </c>
      <c r="D54" s="5">
        <v>620697</v>
      </c>
      <c r="E54" s="5" t="s">
        <v>58</v>
      </c>
      <c r="F54" s="7">
        <v>44822</v>
      </c>
      <c r="G54" s="4">
        <v>307</v>
      </c>
      <c r="H54" s="5" t="s">
        <v>13</v>
      </c>
      <c r="I54" s="3">
        <v>500</v>
      </c>
      <c r="J54" s="3">
        <v>500</v>
      </c>
      <c r="K54">
        <f t="shared" si="0"/>
        <v>500</v>
      </c>
    </row>
    <row r="55" spans="1:11" x14ac:dyDescent="0.3">
      <c r="A55" s="5" t="s">
        <v>34</v>
      </c>
      <c r="B55" s="7">
        <v>44814</v>
      </c>
      <c r="C55" s="5" t="s">
        <v>11</v>
      </c>
      <c r="D55" s="5">
        <v>87022</v>
      </c>
      <c r="E55" s="5" t="s">
        <v>52</v>
      </c>
      <c r="F55" s="7">
        <v>44824</v>
      </c>
      <c r="G55" s="4">
        <v>305</v>
      </c>
      <c r="H55" s="5" t="s">
        <v>13</v>
      </c>
      <c r="I55" s="3">
        <v>9327.7999999999993</v>
      </c>
      <c r="J55" s="3">
        <v>9327.7999999999993</v>
      </c>
      <c r="K55">
        <f t="shared" si="0"/>
        <v>9327.7999999999993</v>
      </c>
    </row>
    <row r="56" spans="1:11" x14ac:dyDescent="0.3">
      <c r="A56" s="5" t="s">
        <v>34</v>
      </c>
      <c r="B56" s="7">
        <v>44800</v>
      </c>
      <c r="C56" s="5" t="s">
        <v>11</v>
      </c>
      <c r="D56" s="5" t="s">
        <v>59</v>
      </c>
      <c r="E56" s="5" t="s">
        <v>46</v>
      </c>
      <c r="F56" s="7">
        <v>44830</v>
      </c>
      <c r="G56" s="4">
        <v>299</v>
      </c>
      <c r="H56" s="5" t="s">
        <v>13</v>
      </c>
      <c r="I56" s="3">
        <v>280</v>
      </c>
      <c r="J56" s="3">
        <v>280</v>
      </c>
      <c r="K56">
        <f t="shared" si="0"/>
        <v>280</v>
      </c>
    </row>
    <row r="57" spans="1:11" x14ac:dyDescent="0.3">
      <c r="A57" s="5" t="s">
        <v>34</v>
      </c>
      <c r="B57" s="7">
        <v>44823</v>
      </c>
      <c r="C57" s="5" t="s">
        <v>11</v>
      </c>
      <c r="D57" s="5">
        <v>88108</v>
      </c>
      <c r="E57" s="5" t="s">
        <v>52</v>
      </c>
      <c r="F57" s="7">
        <v>44833</v>
      </c>
      <c r="G57" s="4">
        <v>296</v>
      </c>
      <c r="H57" s="5" t="s">
        <v>13</v>
      </c>
      <c r="I57" s="3">
        <v>2133.8200000000002</v>
      </c>
      <c r="J57" s="3">
        <v>2133.8200000000002</v>
      </c>
      <c r="K57">
        <f t="shared" si="0"/>
        <v>2133.8200000000002</v>
      </c>
    </row>
    <row r="58" spans="1:11" x14ac:dyDescent="0.3">
      <c r="A58" s="5" t="s">
        <v>34</v>
      </c>
      <c r="B58" s="7">
        <v>44834</v>
      </c>
      <c r="C58" s="5" t="s">
        <v>11</v>
      </c>
      <c r="D58" s="5" t="s">
        <v>60</v>
      </c>
      <c r="E58" s="5" t="s">
        <v>50</v>
      </c>
      <c r="F58" s="7">
        <v>44834</v>
      </c>
      <c r="G58" s="4">
        <v>295</v>
      </c>
      <c r="H58" s="5" t="s">
        <v>13</v>
      </c>
      <c r="I58" s="3">
        <v>350</v>
      </c>
      <c r="J58" s="3">
        <v>350</v>
      </c>
      <c r="K58">
        <f t="shared" si="0"/>
        <v>350</v>
      </c>
    </row>
    <row r="59" spans="1:11" x14ac:dyDescent="0.3">
      <c r="A59" s="5" t="s">
        <v>34</v>
      </c>
      <c r="B59" s="7">
        <v>44834</v>
      </c>
      <c r="C59" s="5" t="s">
        <v>11</v>
      </c>
      <c r="D59" s="5">
        <v>90102</v>
      </c>
      <c r="E59" s="5" t="s">
        <v>52</v>
      </c>
      <c r="F59" s="7">
        <v>44844</v>
      </c>
      <c r="G59" s="4">
        <v>285</v>
      </c>
      <c r="H59" s="5" t="s">
        <v>13</v>
      </c>
      <c r="I59" s="3">
        <v>25330.5</v>
      </c>
      <c r="J59" s="3">
        <v>25330.5</v>
      </c>
      <c r="K59">
        <f t="shared" si="0"/>
        <v>25330.5</v>
      </c>
    </row>
    <row r="60" spans="1:11" x14ac:dyDescent="0.3">
      <c r="A60" s="5" t="s">
        <v>34</v>
      </c>
      <c r="B60" s="7">
        <v>44834</v>
      </c>
      <c r="C60" s="5" t="s">
        <v>11</v>
      </c>
      <c r="D60" s="5">
        <v>90003</v>
      </c>
      <c r="E60" s="5" t="s">
        <v>52</v>
      </c>
      <c r="F60" s="7">
        <v>44844</v>
      </c>
      <c r="G60" s="4">
        <v>285</v>
      </c>
      <c r="H60" s="5" t="s">
        <v>13</v>
      </c>
      <c r="I60" s="3">
        <v>667.54</v>
      </c>
      <c r="J60" s="3">
        <v>667.54</v>
      </c>
      <c r="K60">
        <f t="shared" si="0"/>
        <v>667.54</v>
      </c>
    </row>
    <row r="61" spans="1:11" x14ac:dyDescent="0.3">
      <c r="A61" s="5" t="s">
        <v>34</v>
      </c>
      <c r="B61" s="7">
        <v>44844</v>
      </c>
      <c r="C61" s="5" t="s">
        <v>11</v>
      </c>
      <c r="D61" s="5">
        <v>221002</v>
      </c>
      <c r="E61" s="5" t="s">
        <v>15</v>
      </c>
      <c r="F61" s="7">
        <v>44844</v>
      </c>
      <c r="G61" s="4">
        <v>285</v>
      </c>
      <c r="H61" s="5" t="s">
        <v>13</v>
      </c>
      <c r="I61" s="3">
        <v>1575</v>
      </c>
      <c r="J61" s="3">
        <v>1575</v>
      </c>
      <c r="K61">
        <f t="shared" si="0"/>
        <v>1575</v>
      </c>
    </row>
    <row r="62" spans="1:11" x14ac:dyDescent="0.3">
      <c r="A62" s="5" t="s">
        <v>34</v>
      </c>
      <c r="B62" s="7">
        <v>44815</v>
      </c>
      <c r="C62" s="5" t="s">
        <v>11</v>
      </c>
      <c r="D62" s="5" t="s">
        <v>61</v>
      </c>
      <c r="E62" s="5" t="s">
        <v>62</v>
      </c>
      <c r="F62" s="7">
        <v>44845</v>
      </c>
      <c r="G62" s="4">
        <v>284</v>
      </c>
      <c r="H62" s="5" t="s">
        <v>13</v>
      </c>
      <c r="I62" s="3">
        <v>9856.7999999999993</v>
      </c>
      <c r="J62" s="3">
        <v>9856.7999999999993</v>
      </c>
      <c r="K62">
        <f t="shared" si="0"/>
        <v>9856.7999999999993</v>
      </c>
    </row>
    <row r="63" spans="1:11" x14ac:dyDescent="0.3">
      <c r="A63" s="5" t="s">
        <v>34</v>
      </c>
      <c r="B63" s="7">
        <v>44815</v>
      </c>
      <c r="C63" s="5" t="s">
        <v>11</v>
      </c>
      <c r="D63" s="5" t="s">
        <v>63</v>
      </c>
      <c r="E63" s="5" t="s">
        <v>62</v>
      </c>
      <c r="F63" s="7">
        <v>44845</v>
      </c>
      <c r="G63" s="4">
        <v>284</v>
      </c>
      <c r="H63" s="5" t="s">
        <v>13</v>
      </c>
      <c r="I63" s="3">
        <v>8790.4</v>
      </c>
      <c r="J63" s="3">
        <v>4420.3999999999996</v>
      </c>
      <c r="K63">
        <f t="shared" si="0"/>
        <v>4420.3999999999996</v>
      </c>
    </row>
    <row r="64" spans="1:11" x14ac:dyDescent="0.3">
      <c r="A64" s="5" t="s">
        <v>34</v>
      </c>
      <c r="B64" s="7">
        <v>44815</v>
      </c>
      <c r="C64" s="5" t="s">
        <v>11</v>
      </c>
      <c r="D64" s="5" t="s">
        <v>64</v>
      </c>
      <c r="E64" s="5" t="s">
        <v>62</v>
      </c>
      <c r="F64" s="7">
        <v>44845</v>
      </c>
      <c r="G64" s="4">
        <v>284</v>
      </c>
      <c r="H64" s="5" t="s">
        <v>13</v>
      </c>
      <c r="I64" s="3">
        <v>8656</v>
      </c>
      <c r="J64" s="3">
        <v>8656</v>
      </c>
      <c r="K64">
        <f t="shared" si="0"/>
        <v>8656</v>
      </c>
    </row>
    <row r="65" spans="1:11" x14ac:dyDescent="0.3">
      <c r="A65" s="5" t="s">
        <v>34</v>
      </c>
      <c r="B65" s="7">
        <v>44846</v>
      </c>
      <c r="C65" s="5" t="s">
        <v>11</v>
      </c>
      <c r="D65" s="5">
        <v>4318</v>
      </c>
      <c r="E65" s="5" t="s">
        <v>40</v>
      </c>
      <c r="F65" s="7">
        <v>44846</v>
      </c>
      <c r="G65" s="4">
        <v>283</v>
      </c>
      <c r="H65" s="5" t="s">
        <v>13</v>
      </c>
      <c r="I65" s="3">
        <v>6017</v>
      </c>
      <c r="J65" s="3">
        <v>6017</v>
      </c>
      <c r="K65">
        <f t="shared" si="0"/>
        <v>6017</v>
      </c>
    </row>
    <row r="66" spans="1:11" x14ac:dyDescent="0.3">
      <c r="A66" s="5" t="s">
        <v>34</v>
      </c>
      <c r="B66" s="7">
        <v>44818</v>
      </c>
      <c r="C66" s="5" t="s">
        <v>11</v>
      </c>
      <c r="D66" s="5" t="s">
        <v>65</v>
      </c>
      <c r="E66" s="5" t="s">
        <v>46</v>
      </c>
      <c r="F66" s="7">
        <v>44848</v>
      </c>
      <c r="G66" s="4">
        <v>281</v>
      </c>
      <c r="H66" s="5" t="s">
        <v>13</v>
      </c>
      <c r="I66" s="3">
        <v>75</v>
      </c>
      <c r="J66" s="3">
        <v>75</v>
      </c>
      <c r="K66">
        <f t="shared" si="0"/>
        <v>75</v>
      </c>
    </row>
    <row r="67" spans="1:11" x14ac:dyDescent="0.3">
      <c r="A67" s="5" t="s">
        <v>34</v>
      </c>
      <c r="B67" s="7">
        <v>44851</v>
      </c>
      <c r="C67" s="5" t="s">
        <v>11</v>
      </c>
      <c r="D67" s="5" t="s">
        <v>66</v>
      </c>
      <c r="E67" s="5" t="s">
        <v>67</v>
      </c>
      <c r="F67" s="7">
        <v>44851</v>
      </c>
      <c r="G67" s="4">
        <v>278</v>
      </c>
      <c r="H67" s="5" t="s">
        <v>13</v>
      </c>
      <c r="I67" s="3">
        <v>125</v>
      </c>
      <c r="J67" s="3">
        <v>125</v>
      </c>
      <c r="K67">
        <f t="shared" si="0"/>
        <v>125</v>
      </c>
    </row>
    <row r="68" spans="1:11" x14ac:dyDescent="0.3">
      <c r="A68" s="5" t="s">
        <v>34</v>
      </c>
      <c r="B68" s="7">
        <v>44854</v>
      </c>
      <c r="C68" s="5" t="s">
        <v>11</v>
      </c>
      <c r="D68" s="5">
        <v>105887</v>
      </c>
      <c r="E68" s="5" t="s">
        <v>68</v>
      </c>
      <c r="F68" s="7">
        <v>44854</v>
      </c>
      <c r="G68" s="4">
        <v>275</v>
      </c>
      <c r="H68" s="5" t="s">
        <v>13</v>
      </c>
      <c r="I68" s="3">
        <v>300</v>
      </c>
      <c r="J68" s="3">
        <v>300</v>
      </c>
      <c r="K68">
        <f t="shared" ref="K68:K131" si="1">IF(H68="91+ days",J68,0)</f>
        <v>300</v>
      </c>
    </row>
    <row r="69" spans="1:11" x14ac:dyDescent="0.3">
      <c r="A69" s="5" t="s">
        <v>34</v>
      </c>
      <c r="B69" s="7">
        <v>44845</v>
      </c>
      <c r="C69" s="5" t="s">
        <v>11</v>
      </c>
      <c r="D69" s="5">
        <v>91137</v>
      </c>
      <c r="E69" s="5" t="s">
        <v>52</v>
      </c>
      <c r="F69" s="7">
        <v>44855</v>
      </c>
      <c r="G69" s="4">
        <v>274</v>
      </c>
      <c r="H69" s="5" t="s">
        <v>13</v>
      </c>
      <c r="I69" s="3">
        <v>147.44</v>
      </c>
      <c r="J69" s="3">
        <v>147.44</v>
      </c>
      <c r="K69">
        <f t="shared" si="1"/>
        <v>147.44</v>
      </c>
    </row>
    <row r="70" spans="1:11" x14ac:dyDescent="0.3">
      <c r="A70" s="5" t="s">
        <v>34</v>
      </c>
      <c r="B70" s="7">
        <v>44860</v>
      </c>
      <c r="C70" s="5" t="s">
        <v>11</v>
      </c>
      <c r="D70" s="5" t="s">
        <v>69</v>
      </c>
      <c r="E70" s="5" t="s">
        <v>62</v>
      </c>
      <c r="F70" s="7">
        <v>44860</v>
      </c>
      <c r="G70" s="4">
        <v>269</v>
      </c>
      <c r="H70" s="5" t="s">
        <v>13</v>
      </c>
      <c r="I70" s="3">
        <v>1551.25</v>
      </c>
      <c r="J70" s="3">
        <v>1551.25</v>
      </c>
      <c r="K70">
        <f t="shared" si="1"/>
        <v>1551.25</v>
      </c>
    </row>
    <row r="71" spans="1:11" x14ac:dyDescent="0.3">
      <c r="A71" s="5" t="s">
        <v>34</v>
      </c>
      <c r="B71" s="7">
        <v>44831</v>
      </c>
      <c r="C71" s="5" t="s">
        <v>11</v>
      </c>
      <c r="D71" s="5" t="s">
        <v>70</v>
      </c>
      <c r="E71" s="5" t="s">
        <v>46</v>
      </c>
      <c r="F71" s="7">
        <v>44861</v>
      </c>
      <c r="G71" s="4">
        <v>268</v>
      </c>
      <c r="H71" s="5" t="s">
        <v>13</v>
      </c>
      <c r="I71" s="3">
        <v>280</v>
      </c>
      <c r="J71" s="3">
        <v>280</v>
      </c>
      <c r="K71">
        <f t="shared" si="1"/>
        <v>280</v>
      </c>
    </row>
    <row r="72" spans="1:11" x14ac:dyDescent="0.3">
      <c r="A72" s="5" t="s">
        <v>34</v>
      </c>
      <c r="B72" s="7">
        <v>44852</v>
      </c>
      <c r="C72" s="5" t="s">
        <v>11</v>
      </c>
      <c r="D72" s="5">
        <v>165229</v>
      </c>
      <c r="E72" s="5" t="s">
        <v>71</v>
      </c>
      <c r="F72" s="7">
        <v>44862</v>
      </c>
      <c r="G72" s="4">
        <v>267</v>
      </c>
      <c r="H72" s="5" t="s">
        <v>13</v>
      </c>
      <c r="I72" s="3">
        <v>422.66</v>
      </c>
      <c r="J72" s="3">
        <v>422.66</v>
      </c>
      <c r="K72">
        <f t="shared" si="1"/>
        <v>422.66</v>
      </c>
    </row>
    <row r="73" spans="1:11" x14ac:dyDescent="0.3">
      <c r="A73" s="5" t="s">
        <v>34</v>
      </c>
      <c r="B73" s="7">
        <v>44834</v>
      </c>
      <c r="C73" s="5" t="s">
        <v>11</v>
      </c>
      <c r="D73" s="5">
        <v>17391</v>
      </c>
      <c r="E73" s="5" t="s">
        <v>47</v>
      </c>
      <c r="F73" s="7">
        <v>44864</v>
      </c>
      <c r="G73" s="4">
        <v>265</v>
      </c>
      <c r="H73" s="5" t="s">
        <v>13</v>
      </c>
      <c r="I73" s="3">
        <v>3750</v>
      </c>
      <c r="J73" s="3">
        <v>3750</v>
      </c>
      <c r="K73">
        <f t="shared" si="1"/>
        <v>3750</v>
      </c>
    </row>
    <row r="74" spans="1:11" x14ac:dyDescent="0.3">
      <c r="A74" s="5" t="s">
        <v>34</v>
      </c>
      <c r="B74" s="7">
        <v>44835</v>
      </c>
      <c r="C74" s="5" t="s">
        <v>11</v>
      </c>
      <c r="D74" s="5">
        <v>10935140</v>
      </c>
      <c r="E74" s="5" t="s">
        <v>72</v>
      </c>
      <c r="F74" s="7">
        <v>44865</v>
      </c>
      <c r="G74" s="4">
        <v>264</v>
      </c>
      <c r="H74" s="5" t="s">
        <v>13</v>
      </c>
      <c r="I74" s="3">
        <v>162.38</v>
      </c>
      <c r="J74" s="3">
        <v>162.38</v>
      </c>
      <c r="K74">
        <f t="shared" si="1"/>
        <v>162.38</v>
      </c>
    </row>
    <row r="75" spans="1:11" x14ac:dyDescent="0.3">
      <c r="A75" s="5" t="s">
        <v>34</v>
      </c>
      <c r="B75" s="7">
        <v>44859</v>
      </c>
      <c r="C75" s="5" t="s">
        <v>11</v>
      </c>
      <c r="D75" s="5">
        <v>165470</v>
      </c>
      <c r="E75" s="5" t="s">
        <v>71</v>
      </c>
      <c r="F75" s="7">
        <v>44869</v>
      </c>
      <c r="G75" s="4">
        <v>260</v>
      </c>
      <c r="H75" s="5" t="s">
        <v>13</v>
      </c>
      <c r="I75" s="3">
        <v>3675.51</v>
      </c>
      <c r="J75" s="3">
        <v>3675.51</v>
      </c>
      <c r="K75">
        <f t="shared" si="1"/>
        <v>3675.51</v>
      </c>
    </row>
    <row r="76" spans="1:11" x14ac:dyDescent="0.3">
      <c r="A76" s="5" t="s">
        <v>34</v>
      </c>
      <c r="B76" s="7">
        <v>44873</v>
      </c>
      <c r="C76" s="5" t="s">
        <v>11</v>
      </c>
      <c r="D76" s="5">
        <v>4421</v>
      </c>
      <c r="E76" s="5" t="s">
        <v>40</v>
      </c>
      <c r="F76" s="7">
        <v>44873</v>
      </c>
      <c r="G76" s="4">
        <v>256</v>
      </c>
      <c r="H76" s="5" t="s">
        <v>13</v>
      </c>
      <c r="I76" s="3">
        <v>11435</v>
      </c>
      <c r="J76" s="3">
        <v>11435</v>
      </c>
      <c r="K76">
        <f t="shared" si="1"/>
        <v>11435</v>
      </c>
    </row>
    <row r="77" spans="1:11" x14ac:dyDescent="0.3">
      <c r="A77" s="5" t="s">
        <v>34</v>
      </c>
      <c r="B77" s="7">
        <v>44846</v>
      </c>
      <c r="C77" s="5" t="s">
        <v>11</v>
      </c>
      <c r="D77" s="5">
        <v>2945</v>
      </c>
      <c r="E77" s="5" t="s">
        <v>73</v>
      </c>
      <c r="F77" s="7">
        <v>44876</v>
      </c>
      <c r="G77" s="4">
        <v>253</v>
      </c>
      <c r="H77" s="5" t="s">
        <v>13</v>
      </c>
      <c r="I77" s="3">
        <v>150</v>
      </c>
      <c r="J77" s="3">
        <v>150</v>
      </c>
      <c r="K77">
        <f t="shared" si="1"/>
        <v>150</v>
      </c>
    </row>
    <row r="78" spans="1:11" x14ac:dyDescent="0.3">
      <c r="A78" s="5" t="s">
        <v>34</v>
      </c>
      <c r="B78" s="7">
        <v>44867</v>
      </c>
      <c r="C78" s="5" t="s">
        <v>11</v>
      </c>
      <c r="D78" s="5">
        <v>165639</v>
      </c>
      <c r="E78" s="5" t="s">
        <v>71</v>
      </c>
      <c r="F78" s="7">
        <v>44877</v>
      </c>
      <c r="G78" s="4">
        <v>252</v>
      </c>
      <c r="H78" s="5" t="s">
        <v>13</v>
      </c>
      <c r="I78" s="3">
        <v>4252.8100000000004</v>
      </c>
      <c r="J78" s="3">
        <v>4252.8100000000004</v>
      </c>
      <c r="K78">
        <f t="shared" si="1"/>
        <v>4252.8100000000004</v>
      </c>
    </row>
    <row r="79" spans="1:11" x14ac:dyDescent="0.3">
      <c r="A79" s="5" t="s">
        <v>34</v>
      </c>
      <c r="B79" s="7">
        <v>44867</v>
      </c>
      <c r="C79" s="5" t="s">
        <v>11</v>
      </c>
      <c r="D79" s="5">
        <v>165654</v>
      </c>
      <c r="E79" s="5" t="s">
        <v>71</v>
      </c>
      <c r="F79" s="7">
        <v>44877</v>
      </c>
      <c r="G79" s="4">
        <v>252</v>
      </c>
      <c r="H79" s="5" t="s">
        <v>13</v>
      </c>
      <c r="I79" s="3">
        <v>632.17999999999995</v>
      </c>
      <c r="J79" s="3">
        <v>632.17999999999995</v>
      </c>
      <c r="K79">
        <f t="shared" si="1"/>
        <v>632.17999999999995</v>
      </c>
    </row>
    <row r="80" spans="1:11" x14ac:dyDescent="0.3">
      <c r="A80" s="5" t="s">
        <v>34</v>
      </c>
      <c r="B80" s="7">
        <v>44848</v>
      </c>
      <c r="C80" s="5" t="s">
        <v>11</v>
      </c>
      <c r="D80" s="5">
        <v>10939541</v>
      </c>
      <c r="E80" s="5" t="s">
        <v>72</v>
      </c>
      <c r="F80" s="7">
        <v>44878</v>
      </c>
      <c r="G80" s="4">
        <v>251</v>
      </c>
      <c r="H80" s="5" t="s">
        <v>13</v>
      </c>
      <c r="I80" s="3">
        <v>363.45</v>
      </c>
      <c r="J80" s="3">
        <v>363.45</v>
      </c>
      <c r="K80">
        <f t="shared" si="1"/>
        <v>363.45</v>
      </c>
    </row>
    <row r="81" spans="1:11" x14ac:dyDescent="0.3">
      <c r="A81" s="5" t="s">
        <v>34</v>
      </c>
      <c r="B81" s="7">
        <v>44853</v>
      </c>
      <c r="C81" s="5" t="s">
        <v>11</v>
      </c>
      <c r="D81" s="5">
        <v>2958</v>
      </c>
      <c r="E81" s="5" t="s">
        <v>73</v>
      </c>
      <c r="F81" s="7">
        <v>44883</v>
      </c>
      <c r="G81" s="4">
        <v>246</v>
      </c>
      <c r="H81" s="5" t="s">
        <v>13</v>
      </c>
      <c r="I81" s="3">
        <v>1300</v>
      </c>
      <c r="J81" s="3">
        <v>1300</v>
      </c>
      <c r="K81">
        <f t="shared" si="1"/>
        <v>1300</v>
      </c>
    </row>
    <row r="82" spans="1:11" x14ac:dyDescent="0.3">
      <c r="A82" s="5" t="s">
        <v>34</v>
      </c>
      <c r="B82" s="7">
        <v>44876</v>
      </c>
      <c r="C82" s="5" t="s">
        <v>11</v>
      </c>
      <c r="D82" s="5">
        <v>17410</v>
      </c>
      <c r="E82" s="5" t="s">
        <v>47</v>
      </c>
      <c r="F82" s="7">
        <v>44886</v>
      </c>
      <c r="G82" s="4">
        <v>243</v>
      </c>
      <c r="H82" s="5" t="s">
        <v>13</v>
      </c>
      <c r="I82" s="3">
        <v>1070</v>
      </c>
      <c r="J82" s="3">
        <v>1070</v>
      </c>
      <c r="K82">
        <f t="shared" si="1"/>
        <v>1070</v>
      </c>
    </row>
    <row r="83" spans="1:11" x14ac:dyDescent="0.3">
      <c r="A83" s="5" t="s">
        <v>34</v>
      </c>
      <c r="B83" s="7">
        <v>44861</v>
      </c>
      <c r="C83" s="5" t="s">
        <v>11</v>
      </c>
      <c r="D83" s="5" t="s">
        <v>74</v>
      </c>
      <c r="E83" s="5" t="s">
        <v>46</v>
      </c>
      <c r="F83" s="7">
        <v>44891</v>
      </c>
      <c r="G83" s="4">
        <v>238</v>
      </c>
      <c r="H83" s="5" t="s">
        <v>13</v>
      </c>
      <c r="I83" s="3">
        <v>280</v>
      </c>
      <c r="J83" s="3">
        <v>280</v>
      </c>
      <c r="K83">
        <f t="shared" si="1"/>
        <v>280</v>
      </c>
    </row>
    <row r="84" spans="1:11" x14ac:dyDescent="0.3">
      <c r="A84" s="5" t="s">
        <v>34</v>
      </c>
      <c r="B84" s="7">
        <v>44866</v>
      </c>
      <c r="C84" s="5" t="s">
        <v>11</v>
      </c>
      <c r="D84" s="5">
        <v>10949631</v>
      </c>
      <c r="E84" s="5" t="s">
        <v>72</v>
      </c>
      <c r="F84" s="7">
        <v>44896</v>
      </c>
      <c r="G84" s="4">
        <v>233</v>
      </c>
      <c r="H84" s="5" t="s">
        <v>13</v>
      </c>
      <c r="I84" s="3">
        <v>37.83</v>
      </c>
      <c r="J84" s="3">
        <v>37.83</v>
      </c>
      <c r="K84">
        <f t="shared" si="1"/>
        <v>37.83</v>
      </c>
    </row>
    <row r="85" spans="1:11" x14ac:dyDescent="0.3">
      <c r="A85" s="5" t="s">
        <v>34</v>
      </c>
      <c r="B85" s="7">
        <v>44867</v>
      </c>
      <c r="C85" s="5" t="s">
        <v>11</v>
      </c>
      <c r="D85" s="5">
        <v>2991</v>
      </c>
      <c r="E85" s="5" t="s">
        <v>73</v>
      </c>
      <c r="F85" s="7">
        <v>44897</v>
      </c>
      <c r="G85" s="4">
        <v>232</v>
      </c>
      <c r="H85" s="5" t="s">
        <v>13</v>
      </c>
      <c r="I85" s="3">
        <v>2463</v>
      </c>
      <c r="J85" s="3">
        <v>2463</v>
      </c>
      <c r="K85">
        <f t="shared" si="1"/>
        <v>2463</v>
      </c>
    </row>
    <row r="86" spans="1:11" x14ac:dyDescent="0.3">
      <c r="A86" s="5" t="s">
        <v>34</v>
      </c>
      <c r="B86" s="7">
        <v>44867</v>
      </c>
      <c r="C86" s="5" t="s">
        <v>11</v>
      </c>
      <c r="D86" s="5">
        <v>10949349</v>
      </c>
      <c r="E86" s="5" t="s">
        <v>72</v>
      </c>
      <c r="F86" s="7">
        <v>44897</v>
      </c>
      <c r="G86" s="4">
        <v>232</v>
      </c>
      <c r="H86" s="5" t="s">
        <v>13</v>
      </c>
      <c r="I86" s="3">
        <v>119.01</v>
      </c>
      <c r="J86" s="3">
        <v>119.01</v>
      </c>
      <c r="K86">
        <f t="shared" si="1"/>
        <v>119.01</v>
      </c>
    </row>
    <row r="87" spans="1:11" x14ac:dyDescent="0.3">
      <c r="A87" s="5" t="s">
        <v>34</v>
      </c>
      <c r="B87" s="7">
        <v>44899</v>
      </c>
      <c r="C87" s="5" t="s">
        <v>11</v>
      </c>
      <c r="D87" s="5">
        <v>4501</v>
      </c>
      <c r="E87" s="5" t="s">
        <v>40</v>
      </c>
      <c r="F87" s="7">
        <v>44899</v>
      </c>
      <c r="G87" s="4">
        <v>230</v>
      </c>
      <c r="H87" s="5" t="s">
        <v>13</v>
      </c>
      <c r="I87" s="3">
        <v>5449</v>
      </c>
      <c r="J87" s="3">
        <v>5449</v>
      </c>
      <c r="K87">
        <f t="shared" si="1"/>
        <v>5449</v>
      </c>
    </row>
    <row r="88" spans="1:11" x14ac:dyDescent="0.3">
      <c r="A88" s="5" t="s">
        <v>34</v>
      </c>
      <c r="B88" s="7">
        <v>44887</v>
      </c>
      <c r="C88" s="5" t="s">
        <v>11</v>
      </c>
      <c r="D88" s="5">
        <v>59112</v>
      </c>
      <c r="E88" s="5" t="s">
        <v>75</v>
      </c>
      <c r="F88" s="7">
        <v>44902</v>
      </c>
      <c r="G88" s="4">
        <v>227</v>
      </c>
      <c r="H88" s="5" t="s">
        <v>13</v>
      </c>
      <c r="I88" s="3">
        <v>96.13</v>
      </c>
      <c r="J88" s="3">
        <v>96.13</v>
      </c>
      <c r="K88">
        <f t="shared" si="1"/>
        <v>96.13</v>
      </c>
    </row>
    <row r="89" spans="1:11" x14ac:dyDescent="0.3">
      <c r="A89" s="5" t="s">
        <v>34</v>
      </c>
      <c r="B89" s="7">
        <v>44887</v>
      </c>
      <c r="C89" s="5" t="s">
        <v>11</v>
      </c>
      <c r="D89" s="5">
        <v>59204</v>
      </c>
      <c r="E89" s="5" t="s">
        <v>75</v>
      </c>
      <c r="F89" s="7">
        <v>44902</v>
      </c>
      <c r="G89" s="4">
        <v>227</v>
      </c>
      <c r="H89" s="5" t="s">
        <v>13</v>
      </c>
      <c r="I89" s="3">
        <v>45.64</v>
      </c>
      <c r="J89" s="3">
        <v>45.64</v>
      </c>
      <c r="K89">
        <f t="shared" si="1"/>
        <v>45.64</v>
      </c>
    </row>
    <row r="90" spans="1:11" x14ac:dyDescent="0.3">
      <c r="A90" s="5" t="s">
        <v>34</v>
      </c>
      <c r="B90" s="7">
        <v>44874</v>
      </c>
      <c r="C90" s="5" t="s">
        <v>11</v>
      </c>
      <c r="D90" s="5">
        <v>3020</v>
      </c>
      <c r="E90" s="5" t="s">
        <v>73</v>
      </c>
      <c r="F90" s="7">
        <v>44904</v>
      </c>
      <c r="G90" s="4">
        <v>225</v>
      </c>
      <c r="H90" s="5" t="s">
        <v>13</v>
      </c>
      <c r="I90" s="3">
        <v>789.5</v>
      </c>
      <c r="J90" s="3">
        <v>789.5</v>
      </c>
      <c r="K90">
        <f t="shared" si="1"/>
        <v>789.5</v>
      </c>
    </row>
    <row r="91" spans="1:11" x14ac:dyDescent="0.3">
      <c r="A91" s="5" t="s">
        <v>34</v>
      </c>
      <c r="B91" s="7">
        <v>44874</v>
      </c>
      <c r="C91" s="5" t="s">
        <v>11</v>
      </c>
      <c r="D91" s="5" t="s">
        <v>76</v>
      </c>
      <c r="E91" s="5" t="s">
        <v>46</v>
      </c>
      <c r="F91" s="7">
        <v>44904</v>
      </c>
      <c r="G91" s="4">
        <v>225</v>
      </c>
      <c r="H91" s="5" t="s">
        <v>13</v>
      </c>
      <c r="I91" s="3">
        <v>75</v>
      </c>
      <c r="J91" s="3">
        <v>75</v>
      </c>
      <c r="K91">
        <f t="shared" si="1"/>
        <v>75</v>
      </c>
    </row>
    <row r="92" spans="1:11" x14ac:dyDescent="0.3">
      <c r="A92" s="5" t="s">
        <v>34</v>
      </c>
      <c r="B92" s="7">
        <v>44874</v>
      </c>
      <c r="C92" s="5" t="s">
        <v>11</v>
      </c>
      <c r="D92" s="5" t="s">
        <v>77</v>
      </c>
      <c r="E92" s="5" t="s">
        <v>46</v>
      </c>
      <c r="F92" s="7">
        <v>44904</v>
      </c>
      <c r="G92" s="4">
        <v>225</v>
      </c>
      <c r="H92" s="5" t="s">
        <v>13</v>
      </c>
      <c r="I92" s="3">
        <v>75</v>
      </c>
      <c r="J92" s="3">
        <v>75</v>
      </c>
      <c r="K92">
        <f t="shared" si="1"/>
        <v>75</v>
      </c>
    </row>
    <row r="93" spans="1:11" x14ac:dyDescent="0.3">
      <c r="A93" s="5" t="s">
        <v>34</v>
      </c>
      <c r="B93" s="7">
        <v>44904</v>
      </c>
      <c r="C93" s="5" t="s">
        <v>11</v>
      </c>
      <c r="D93" s="5">
        <v>4530</v>
      </c>
      <c r="E93" s="5" t="s">
        <v>40</v>
      </c>
      <c r="F93" s="7">
        <v>44904</v>
      </c>
      <c r="G93" s="4">
        <v>225</v>
      </c>
      <c r="H93" s="5" t="s">
        <v>13</v>
      </c>
      <c r="I93" s="3">
        <v>2744</v>
      </c>
      <c r="J93" s="3">
        <v>2744</v>
      </c>
      <c r="K93">
        <f t="shared" si="1"/>
        <v>2744</v>
      </c>
    </row>
    <row r="94" spans="1:11" x14ac:dyDescent="0.3">
      <c r="A94" s="5" t="s">
        <v>34</v>
      </c>
      <c r="B94" s="7">
        <v>44887</v>
      </c>
      <c r="C94" s="5" t="s">
        <v>11</v>
      </c>
      <c r="D94" s="5">
        <v>59219</v>
      </c>
      <c r="E94" s="5" t="s">
        <v>75</v>
      </c>
      <c r="F94" s="7">
        <v>44906</v>
      </c>
      <c r="G94" s="4">
        <v>223</v>
      </c>
      <c r="H94" s="5" t="s">
        <v>13</v>
      </c>
      <c r="I94" s="3">
        <v>162.99</v>
      </c>
      <c r="J94" s="3">
        <v>162.99</v>
      </c>
      <c r="K94">
        <f t="shared" si="1"/>
        <v>162.99</v>
      </c>
    </row>
    <row r="95" spans="1:11" x14ac:dyDescent="0.3">
      <c r="A95" s="5" t="s">
        <v>34</v>
      </c>
      <c r="B95" s="7">
        <v>44907</v>
      </c>
      <c r="C95" s="5" t="s">
        <v>11</v>
      </c>
      <c r="D95" s="5">
        <v>695662</v>
      </c>
      <c r="E95" s="5" t="s">
        <v>78</v>
      </c>
      <c r="F95" s="7">
        <v>44907</v>
      </c>
      <c r="G95" s="4">
        <v>222</v>
      </c>
      <c r="H95" s="5" t="s">
        <v>13</v>
      </c>
      <c r="I95" s="3">
        <v>400</v>
      </c>
      <c r="J95" s="3">
        <v>400</v>
      </c>
      <c r="K95">
        <f t="shared" si="1"/>
        <v>400</v>
      </c>
    </row>
    <row r="96" spans="1:11" x14ac:dyDescent="0.3">
      <c r="A96" s="5" t="s">
        <v>34</v>
      </c>
      <c r="B96" s="7">
        <v>44907</v>
      </c>
      <c r="C96" s="5" t="s">
        <v>11</v>
      </c>
      <c r="D96" s="5">
        <v>695664</v>
      </c>
      <c r="E96" s="5" t="s">
        <v>78</v>
      </c>
      <c r="F96" s="7">
        <v>44907</v>
      </c>
      <c r="G96" s="4">
        <v>222</v>
      </c>
      <c r="H96" s="5" t="s">
        <v>13</v>
      </c>
      <c r="I96" s="3">
        <v>200</v>
      </c>
      <c r="J96" s="3">
        <v>200</v>
      </c>
      <c r="K96">
        <f t="shared" si="1"/>
        <v>200</v>
      </c>
    </row>
    <row r="97" spans="1:11" x14ac:dyDescent="0.3">
      <c r="A97" s="5" t="s">
        <v>34</v>
      </c>
      <c r="B97" s="7">
        <v>44910</v>
      </c>
      <c r="C97" s="5" t="s">
        <v>11</v>
      </c>
      <c r="D97" s="5" t="s">
        <v>79</v>
      </c>
      <c r="E97" s="5" t="s">
        <v>80</v>
      </c>
      <c r="F97" s="7">
        <v>44910</v>
      </c>
      <c r="G97" s="4">
        <v>219</v>
      </c>
      <c r="H97" s="5" t="s">
        <v>13</v>
      </c>
      <c r="I97" s="3">
        <v>172.12</v>
      </c>
      <c r="J97" s="3">
        <v>172.12</v>
      </c>
      <c r="K97">
        <f t="shared" si="1"/>
        <v>172.12</v>
      </c>
    </row>
    <row r="98" spans="1:11" x14ac:dyDescent="0.3">
      <c r="A98" s="5" t="s">
        <v>34</v>
      </c>
      <c r="B98" s="7">
        <v>44887</v>
      </c>
      <c r="C98" s="5" t="s">
        <v>11</v>
      </c>
      <c r="D98" s="5">
        <v>59217</v>
      </c>
      <c r="E98" s="5" t="s">
        <v>75</v>
      </c>
      <c r="F98" s="7">
        <v>44917</v>
      </c>
      <c r="G98" s="4">
        <v>212</v>
      </c>
      <c r="H98" s="5" t="s">
        <v>13</v>
      </c>
      <c r="I98" s="3">
        <v>141.4</v>
      </c>
      <c r="J98" s="3">
        <v>141.4</v>
      </c>
      <c r="K98">
        <f t="shared" si="1"/>
        <v>141.4</v>
      </c>
    </row>
    <row r="99" spans="1:11" x14ac:dyDescent="0.3">
      <c r="A99" s="5" t="s">
        <v>34</v>
      </c>
      <c r="B99" s="7">
        <v>44887</v>
      </c>
      <c r="C99" s="5" t="s">
        <v>11</v>
      </c>
      <c r="D99" s="5">
        <v>59213</v>
      </c>
      <c r="E99" s="5" t="s">
        <v>75</v>
      </c>
      <c r="F99" s="7">
        <v>44917</v>
      </c>
      <c r="G99" s="4">
        <v>212</v>
      </c>
      <c r="H99" s="5" t="s">
        <v>13</v>
      </c>
      <c r="I99" s="3">
        <v>13.53</v>
      </c>
      <c r="J99" s="3">
        <v>13.53</v>
      </c>
      <c r="K99">
        <f t="shared" si="1"/>
        <v>13.53</v>
      </c>
    </row>
    <row r="100" spans="1:11" x14ac:dyDescent="0.3">
      <c r="A100" s="5" t="s">
        <v>34</v>
      </c>
      <c r="B100" s="7">
        <v>44892</v>
      </c>
      <c r="C100" s="5" t="s">
        <v>11</v>
      </c>
      <c r="D100" s="5" t="s">
        <v>81</v>
      </c>
      <c r="E100" s="5" t="s">
        <v>46</v>
      </c>
      <c r="F100" s="7">
        <v>44922</v>
      </c>
      <c r="G100" s="4">
        <v>207</v>
      </c>
      <c r="H100" s="5" t="s">
        <v>13</v>
      </c>
      <c r="I100" s="3">
        <v>280</v>
      </c>
      <c r="J100" s="3">
        <v>280</v>
      </c>
      <c r="K100">
        <f t="shared" si="1"/>
        <v>280</v>
      </c>
    </row>
    <row r="101" spans="1:11" x14ac:dyDescent="0.3">
      <c r="A101" s="5" t="s">
        <v>34</v>
      </c>
      <c r="B101" s="7">
        <v>44894</v>
      </c>
      <c r="C101" s="5" t="s">
        <v>11</v>
      </c>
      <c r="D101" s="5" t="s">
        <v>82</v>
      </c>
      <c r="E101" s="5" t="s">
        <v>46</v>
      </c>
      <c r="F101" s="7">
        <v>44924</v>
      </c>
      <c r="G101" s="4">
        <v>205</v>
      </c>
      <c r="H101" s="5" t="s">
        <v>13</v>
      </c>
      <c r="I101" s="3">
        <v>75</v>
      </c>
      <c r="J101" s="3">
        <v>75</v>
      </c>
      <c r="K101">
        <f t="shared" si="1"/>
        <v>75</v>
      </c>
    </row>
    <row r="102" spans="1:11" x14ac:dyDescent="0.3">
      <c r="A102" s="5" t="s">
        <v>34</v>
      </c>
      <c r="B102" s="7">
        <v>44894</v>
      </c>
      <c r="C102" s="5" t="s">
        <v>11</v>
      </c>
      <c r="D102" s="5">
        <v>10967493</v>
      </c>
      <c r="E102" s="5" t="s">
        <v>72</v>
      </c>
      <c r="F102" s="7">
        <v>44924</v>
      </c>
      <c r="G102" s="4">
        <v>205</v>
      </c>
      <c r="H102" s="5" t="s">
        <v>13</v>
      </c>
      <c r="I102" s="3">
        <v>37.83</v>
      </c>
      <c r="J102" s="3">
        <v>37.83</v>
      </c>
      <c r="K102">
        <f t="shared" si="1"/>
        <v>37.83</v>
      </c>
    </row>
    <row r="103" spans="1:11" x14ac:dyDescent="0.3">
      <c r="A103" s="5" t="s">
        <v>34</v>
      </c>
      <c r="B103" s="7">
        <v>44926</v>
      </c>
      <c r="C103" s="5" t="s">
        <v>83</v>
      </c>
      <c r="D103" s="5" t="s">
        <v>84</v>
      </c>
      <c r="E103" s="5" t="s">
        <v>85</v>
      </c>
      <c r="F103" s="7">
        <v>44926</v>
      </c>
      <c r="G103" s="4">
        <v>203</v>
      </c>
      <c r="H103" s="5" t="s">
        <v>13</v>
      </c>
      <c r="I103" s="3">
        <v>77179.850000000006</v>
      </c>
      <c r="J103" s="3">
        <v>77179.850000000006</v>
      </c>
      <c r="K103">
        <f t="shared" si="1"/>
        <v>77179.850000000006</v>
      </c>
    </row>
    <row r="104" spans="1:11" x14ac:dyDescent="0.3">
      <c r="A104" s="5" t="s">
        <v>34</v>
      </c>
      <c r="B104" s="7">
        <v>44926</v>
      </c>
      <c r="C104" s="5" t="s">
        <v>11</v>
      </c>
      <c r="D104" s="5">
        <v>524185</v>
      </c>
      <c r="E104" s="5" t="s">
        <v>86</v>
      </c>
      <c r="F104" s="7">
        <v>44926</v>
      </c>
      <c r="G104" s="4">
        <v>203</v>
      </c>
      <c r="H104" s="5" t="s">
        <v>13</v>
      </c>
      <c r="I104" s="3">
        <v>2360</v>
      </c>
      <c r="J104" s="3">
        <v>2360</v>
      </c>
      <c r="K104">
        <f t="shared" si="1"/>
        <v>2360</v>
      </c>
    </row>
    <row r="105" spans="1:11" x14ac:dyDescent="0.3">
      <c r="A105" s="5" t="s">
        <v>34</v>
      </c>
      <c r="B105" s="7">
        <v>44929</v>
      </c>
      <c r="C105" s="5" t="s">
        <v>11</v>
      </c>
      <c r="D105" s="5" t="s">
        <v>87</v>
      </c>
      <c r="E105" s="5" t="s">
        <v>88</v>
      </c>
      <c r="F105" s="7">
        <v>44929</v>
      </c>
      <c r="G105" s="4">
        <v>200</v>
      </c>
      <c r="H105" s="5" t="s">
        <v>13</v>
      </c>
      <c r="I105" s="3">
        <v>2184.0500000000002</v>
      </c>
      <c r="J105" s="3">
        <v>2184.0500000000002</v>
      </c>
      <c r="K105">
        <f t="shared" si="1"/>
        <v>2184.0500000000002</v>
      </c>
    </row>
    <row r="106" spans="1:11" x14ac:dyDescent="0.3">
      <c r="A106" s="5" t="s">
        <v>34</v>
      </c>
      <c r="B106" s="7">
        <v>44865</v>
      </c>
      <c r="C106" s="5" t="s">
        <v>11</v>
      </c>
      <c r="D106" s="5">
        <v>26337</v>
      </c>
      <c r="E106" s="5" t="s">
        <v>89</v>
      </c>
      <c r="F106" s="7">
        <v>44937</v>
      </c>
      <c r="G106" s="4">
        <v>192</v>
      </c>
      <c r="H106" s="5" t="s">
        <v>13</v>
      </c>
      <c r="I106" s="3">
        <v>11785.63</v>
      </c>
      <c r="J106" s="3">
        <v>11785.63</v>
      </c>
      <c r="K106">
        <f t="shared" si="1"/>
        <v>11785.63</v>
      </c>
    </row>
    <row r="107" spans="1:11" x14ac:dyDescent="0.3">
      <c r="A107" s="5" t="s">
        <v>34</v>
      </c>
      <c r="B107" s="7">
        <v>44895</v>
      </c>
      <c r="C107" s="5" t="s">
        <v>11</v>
      </c>
      <c r="D107" s="5">
        <v>26388</v>
      </c>
      <c r="E107" s="5" t="s">
        <v>89</v>
      </c>
      <c r="F107" s="7">
        <v>44938</v>
      </c>
      <c r="G107" s="4">
        <v>191</v>
      </c>
      <c r="H107" s="5" t="s">
        <v>13</v>
      </c>
      <c r="I107" s="3">
        <v>6298.75</v>
      </c>
      <c r="J107" s="3">
        <v>6298.75</v>
      </c>
      <c r="K107">
        <f t="shared" si="1"/>
        <v>6298.75</v>
      </c>
    </row>
    <row r="108" spans="1:11" x14ac:dyDescent="0.3">
      <c r="A108" s="5" t="s">
        <v>34</v>
      </c>
      <c r="B108" s="7">
        <v>44908</v>
      </c>
      <c r="C108" s="5" t="s">
        <v>11</v>
      </c>
      <c r="D108" s="5">
        <v>10978016</v>
      </c>
      <c r="E108" s="5" t="s">
        <v>72</v>
      </c>
      <c r="F108" s="7">
        <v>44938</v>
      </c>
      <c r="G108" s="4">
        <v>191</v>
      </c>
      <c r="H108" s="5" t="s">
        <v>13</v>
      </c>
      <c r="I108" s="3">
        <v>112.26</v>
      </c>
      <c r="J108" s="3">
        <v>112.26</v>
      </c>
      <c r="K108">
        <f t="shared" si="1"/>
        <v>112.26</v>
      </c>
    </row>
    <row r="109" spans="1:11" x14ac:dyDescent="0.3">
      <c r="A109" s="5" t="s">
        <v>34</v>
      </c>
      <c r="B109" s="7">
        <v>44938</v>
      </c>
      <c r="C109" s="5" t="s">
        <v>11</v>
      </c>
      <c r="D109" s="5" t="s">
        <v>90</v>
      </c>
      <c r="E109" s="5" t="s">
        <v>88</v>
      </c>
      <c r="F109" s="7">
        <v>44938</v>
      </c>
      <c r="G109" s="4">
        <v>191</v>
      </c>
      <c r="H109" s="5" t="s">
        <v>13</v>
      </c>
      <c r="I109" s="3">
        <v>4953.3900000000003</v>
      </c>
      <c r="J109" s="3">
        <v>4953.3900000000003</v>
      </c>
      <c r="K109">
        <f t="shared" si="1"/>
        <v>4953.3900000000003</v>
      </c>
    </row>
    <row r="110" spans="1:11" x14ac:dyDescent="0.3">
      <c r="A110" s="5" t="s">
        <v>34</v>
      </c>
      <c r="B110" s="7">
        <v>44939</v>
      </c>
      <c r="C110" s="5" t="s">
        <v>11</v>
      </c>
      <c r="D110" s="5">
        <v>332396</v>
      </c>
      <c r="E110" s="5" t="s">
        <v>91</v>
      </c>
      <c r="F110" s="7">
        <v>44939</v>
      </c>
      <c r="G110" s="4">
        <v>190</v>
      </c>
      <c r="H110" s="5" t="s">
        <v>13</v>
      </c>
      <c r="I110" s="3">
        <v>4550</v>
      </c>
      <c r="J110" s="3">
        <v>4550</v>
      </c>
      <c r="K110">
        <f t="shared" si="1"/>
        <v>4550</v>
      </c>
    </row>
    <row r="111" spans="1:11" x14ac:dyDescent="0.3">
      <c r="A111" s="5" t="s">
        <v>34</v>
      </c>
      <c r="B111" s="7">
        <v>44939</v>
      </c>
      <c r="C111" s="5" t="s">
        <v>11</v>
      </c>
      <c r="D111" s="5" t="s">
        <v>92</v>
      </c>
      <c r="E111" s="5" t="s">
        <v>88</v>
      </c>
      <c r="F111" s="7">
        <v>44939</v>
      </c>
      <c r="G111" s="4">
        <v>190</v>
      </c>
      <c r="H111" s="5" t="s">
        <v>13</v>
      </c>
      <c r="I111" s="3">
        <v>1005.48</v>
      </c>
      <c r="J111" s="3">
        <v>1005.48</v>
      </c>
      <c r="K111">
        <f t="shared" si="1"/>
        <v>1005.48</v>
      </c>
    </row>
    <row r="112" spans="1:11" x14ac:dyDescent="0.3">
      <c r="A112" s="5" t="s">
        <v>34</v>
      </c>
      <c r="B112" s="7">
        <v>44916</v>
      </c>
      <c r="C112" s="5" t="s">
        <v>11</v>
      </c>
      <c r="D112" s="5">
        <v>3125</v>
      </c>
      <c r="E112" s="5" t="s">
        <v>73</v>
      </c>
      <c r="F112" s="7">
        <v>44946</v>
      </c>
      <c r="G112" s="4">
        <v>183</v>
      </c>
      <c r="H112" s="5" t="s">
        <v>13</v>
      </c>
      <c r="I112" s="3">
        <v>1381</v>
      </c>
      <c r="J112" s="3">
        <v>1381</v>
      </c>
      <c r="K112">
        <f t="shared" si="1"/>
        <v>1381</v>
      </c>
    </row>
    <row r="113" spans="1:11" x14ac:dyDescent="0.3">
      <c r="A113" s="5" t="s">
        <v>34</v>
      </c>
      <c r="B113" s="7">
        <v>44949</v>
      </c>
      <c r="C113" s="5" t="s">
        <v>11</v>
      </c>
      <c r="D113" s="5" t="s">
        <v>93</v>
      </c>
      <c r="E113" s="5" t="s">
        <v>88</v>
      </c>
      <c r="F113" s="7">
        <v>44949</v>
      </c>
      <c r="G113" s="4">
        <v>180</v>
      </c>
      <c r="H113" s="5" t="s">
        <v>13</v>
      </c>
      <c r="I113" s="3">
        <v>405.94</v>
      </c>
      <c r="J113" s="3">
        <v>405.94</v>
      </c>
      <c r="K113">
        <f t="shared" si="1"/>
        <v>405.94</v>
      </c>
    </row>
    <row r="114" spans="1:11" x14ac:dyDescent="0.3">
      <c r="A114" s="5" t="s">
        <v>34</v>
      </c>
      <c r="B114" s="7">
        <v>44922</v>
      </c>
      <c r="C114" s="5" t="s">
        <v>11</v>
      </c>
      <c r="D114" s="5" t="s">
        <v>94</v>
      </c>
      <c r="E114" s="5" t="s">
        <v>46</v>
      </c>
      <c r="F114" s="7">
        <v>44952</v>
      </c>
      <c r="G114" s="4">
        <v>177</v>
      </c>
      <c r="H114" s="5" t="s">
        <v>13</v>
      </c>
      <c r="I114" s="3">
        <v>280</v>
      </c>
      <c r="J114" s="3">
        <v>280</v>
      </c>
      <c r="K114">
        <f t="shared" si="1"/>
        <v>280</v>
      </c>
    </row>
    <row r="115" spans="1:11" x14ac:dyDescent="0.3">
      <c r="A115" s="5" t="s">
        <v>34</v>
      </c>
      <c r="B115" s="7">
        <v>44927</v>
      </c>
      <c r="C115" s="5" t="s">
        <v>11</v>
      </c>
      <c r="D115" s="5" t="s">
        <v>95</v>
      </c>
      <c r="E115" s="5" t="s">
        <v>96</v>
      </c>
      <c r="F115" s="7">
        <v>44957</v>
      </c>
      <c r="G115" s="4">
        <v>172</v>
      </c>
      <c r="H115" s="5" t="s">
        <v>13</v>
      </c>
      <c r="I115" s="3">
        <v>126.65</v>
      </c>
      <c r="J115" s="3">
        <v>126.65</v>
      </c>
      <c r="K115">
        <f t="shared" si="1"/>
        <v>126.65</v>
      </c>
    </row>
    <row r="116" spans="1:11" x14ac:dyDescent="0.3">
      <c r="A116" s="5" t="s">
        <v>34</v>
      </c>
      <c r="B116" s="7">
        <v>44930</v>
      </c>
      <c r="C116" s="5" t="s">
        <v>11</v>
      </c>
      <c r="D116" s="5">
        <v>3141</v>
      </c>
      <c r="E116" s="5" t="s">
        <v>73</v>
      </c>
      <c r="F116" s="7">
        <v>44960</v>
      </c>
      <c r="G116" s="4">
        <v>169</v>
      </c>
      <c r="H116" s="5" t="s">
        <v>13</v>
      </c>
      <c r="I116" s="3">
        <v>520</v>
      </c>
      <c r="J116" s="3">
        <v>520</v>
      </c>
      <c r="K116">
        <f t="shared" si="1"/>
        <v>520</v>
      </c>
    </row>
    <row r="117" spans="1:11" x14ac:dyDescent="0.3">
      <c r="A117" s="5" t="s">
        <v>34</v>
      </c>
      <c r="B117" s="7">
        <v>44963</v>
      </c>
      <c r="C117" s="5" t="s">
        <v>11</v>
      </c>
      <c r="D117" s="5">
        <v>9681</v>
      </c>
      <c r="E117" s="5" t="s">
        <v>97</v>
      </c>
      <c r="F117" s="7">
        <v>44963</v>
      </c>
      <c r="G117" s="4">
        <v>166</v>
      </c>
      <c r="H117" s="5" t="s">
        <v>13</v>
      </c>
      <c r="I117" s="3">
        <v>5114.8100000000004</v>
      </c>
      <c r="J117" s="3">
        <v>5114.8100000000004</v>
      </c>
      <c r="K117">
        <f t="shared" si="1"/>
        <v>5114.8100000000004</v>
      </c>
    </row>
    <row r="118" spans="1:11" x14ac:dyDescent="0.3">
      <c r="A118" s="5" t="s">
        <v>34</v>
      </c>
      <c r="B118" s="7">
        <v>44966</v>
      </c>
      <c r="C118" s="5" t="s">
        <v>11</v>
      </c>
      <c r="D118" s="5" t="s">
        <v>98</v>
      </c>
      <c r="E118" s="5" t="s">
        <v>88</v>
      </c>
      <c r="F118" s="7">
        <v>44966</v>
      </c>
      <c r="G118" s="4">
        <v>163</v>
      </c>
      <c r="H118" s="5" t="s">
        <v>13</v>
      </c>
      <c r="I118" s="3">
        <v>2074.2800000000002</v>
      </c>
      <c r="J118" s="3">
        <v>2074.2800000000002</v>
      </c>
      <c r="K118">
        <f t="shared" si="1"/>
        <v>2074.2800000000002</v>
      </c>
    </row>
    <row r="119" spans="1:11" x14ac:dyDescent="0.3">
      <c r="A119" s="5" t="s">
        <v>34</v>
      </c>
      <c r="B119" s="7">
        <v>44937</v>
      </c>
      <c r="C119" s="5" t="s">
        <v>11</v>
      </c>
      <c r="D119" s="5">
        <v>3148</v>
      </c>
      <c r="E119" s="5" t="s">
        <v>73</v>
      </c>
      <c r="F119" s="7">
        <v>44967</v>
      </c>
      <c r="G119" s="4">
        <v>162</v>
      </c>
      <c r="H119" s="5" t="s">
        <v>13</v>
      </c>
      <c r="I119" s="3">
        <v>3905</v>
      </c>
      <c r="J119" s="3">
        <v>3905</v>
      </c>
      <c r="K119">
        <f t="shared" si="1"/>
        <v>3905</v>
      </c>
    </row>
    <row r="120" spans="1:11" x14ac:dyDescent="0.3">
      <c r="A120" s="5" t="s">
        <v>34</v>
      </c>
      <c r="B120" s="7">
        <v>44958</v>
      </c>
      <c r="C120" s="5" t="s">
        <v>11</v>
      </c>
      <c r="D120" s="5">
        <v>420439</v>
      </c>
      <c r="E120" s="5" t="s">
        <v>99</v>
      </c>
      <c r="F120" s="7">
        <v>44968</v>
      </c>
      <c r="G120" s="4">
        <v>161</v>
      </c>
      <c r="H120" s="5" t="s">
        <v>13</v>
      </c>
      <c r="I120" s="3">
        <v>554.32000000000005</v>
      </c>
      <c r="J120" s="3">
        <v>554.32000000000005</v>
      </c>
      <c r="K120">
        <f t="shared" si="1"/>
        <v>554.32000000000005</v>
      </c>
    </row>
    <row r="121" spans="1:11" x14ac:dyDescent="0.3">
      <c r="A121" s="5" t="s">
        <v>34</v>
      </c>
      <c r="B121" s="7">
        <v>44939</v>
      </c>
      <c r="C121" s="5" t="s">
        <v>11</v>
      </c>
      <c r="D121" s="5">
        <v>10993131</v>
      </c>
      <c r="E121" s="5" t="s">
        <v>72</v>
      </c>
      <c r="F121" s="7">
        <v>44969</v>
      </c>
      <c r="G121" s="4">
        <v>160</v>
      </c>
      <c r="H121" s="5" t="s">
        <v>13</v>
      </c>
      <c r="I121" s="3">
        <v>161.4</v>
      </c>
      <c r="J121" s="3">
        <v>161.4</v>
      </c>
      <c r="K121">
        <f t="shared" si="1"/>
        <v>161.4</v>
      </c>
    </row>
    <row r="122" spans="1:11" x14ac:dyDescent="0.3">
      <c r="A122" s="5" t="s">
        <v>34</v>
      </c>
      <c r="B122" s="7">
        <v>44926</v>
      </c>
      <c r="C122" s="5" t="s">
        <v>11</v>
      </c>
      <c r="D122" s="5">
        <v>26654</v>
      </c>
      <c r="E122" s="5" t="s">
        <v>89</v>
      </c>
      <c r="F122" s="7">
        <v>44971</v>
      </c>
      <c r="G122" s="4">
        <v>158</v>
      </c>
      <c r="H122" s="5" t="s">
        <v>13</v>
      </c>
      <c r="I122" s="3">
        <v>2640</v>
      </c>
      <c r="J122" s="3">
        <v>2640</v>
      </c>
      <c r="K122">
        <f t="shared" si="1"/>
        <v>2640</v>
      </c>
    </row>
    <row r="123" spans="1:11" x14ac:dyDescent="0.3">
      <c r="A123" s="5" t="s">
        <v>34</v>
      </c>
      <c r="B123" s="7">
        <v>44953</v>
      </c>
      <c r="C123" s="5" t="s">
        <v>11</v>
      </c>
      <c r="D123" s="5" t="s">
        <v>100</v>
      </c>
      <c r="E123" s="5" t="s">
        <v>46</v>
      </c>
      <c r="F123" s="7">
        <v>44983</v>
      </c>
      <c r="G123" s="4">
        <v>146</v>
      </c>
      <c r="H123" s="5" t="s">
        <v>13</v>
      </c>
      <c r="I123" s="3">
        <v>280</v>
      </c>
      <c r="J123" s="3">
        <v>280</v>
      </c>
      <c r="K123">
        <f t="shared" si="1"/>
        <v>280</v>
      </c>
    </row>
    <row r="124" spans="1:11" x14ac:dyDescent="0.3">
      <c r="A124" s="5" t="s">
        <v>34</v>
      </c>
      <c r="B124" s="7">
        <v>44958</v>
      </c>
      <c r="C124" s="5" t="s">
        <v>11</v>
      </c>
      <c r="D124" s="5">
        <v>3195</v>
      </c>
      <c r="E124" s="5" t="s">
        <v>73</v>
      </c>
      <c r="F124" s="7">
        <v>44988</v>
      </c>
      <c r="G124" s="4">
        <v>141</v>
      </c>
      <c r="H124" s="5" t="s">
        <v>13</v>
      </c>
      <c r="I124" s="3">
        <v>1502.5</v>
      </c>
      <c r="J124" s="3">
        <v>1502.5</v>
      </c>
      <c r="K124">
        <f t="shared" si="1"/>
        <v>1502.5</v>
      </c>
    </row>
    <row r="125" spans="1:11" x14ac:dyDescent="0.3">
      <c r="A125" s="5" t="s">
        <v>34</v>
      </c>
      <c r="B125" s="7">
        <v>44994</v>
      </c>
      <c r="C125" s="5" t="s">
        <v>11</v>
      </c>
      <c r="D125" s="5" t="s">
        <v>101</v>
      </c>
      <c r="E125" s="5" t="s">
        <v>88</v>
      </c>
      <c r="F125" s="7">
        <v>44994</v>
      </c>
      <c r="G125" s="4">
        <v>135</v>
      </c>
      <c r="H125" s="5" t="s">
        <v>13</v>
      </c>
      <c r="I125" s="3">
        <v>2105.4</v>
      </c>
      <c r="J125" s="3">
        <v>2105.4</v>
      </c>
      <c r="K125">
        <f t="shared" si="1"/>
        <v>2105.4</v>
      </c>
    </row>
    <row r="126" spans="1:11" x14ac:dyDescent="0.3">
      <c r="A126" s="5" t="s">
        <v>34</v>
      </c>
      <c r="B126" s="7">
        <v>44965</v>
      </c>
      <c r="C126" s="5" t="s">
        <v>11</v>
      </c>
      <c r="D126" s="5">
        <v>3205</v>
      </c>
      <c r="E126" s="5" t="s">
        <v>73</v>
      </c>
      <c r="F126" s="7">
        <v>44995</v>
      </c>
      <c r="G126" s="4">
        <v>134</v>
      </c>
      <c r="H126" s="5" t="s">
        <v>13</v>
      </c>
      <c r="I126" s="3">
        <v>510</v>
      </c>
      <c r="J126" s="3">
        <v>510</v>
      </c>
      <c r="K126">
        <f t="shared" si="1"/>
        <v>510</v>
      </c>
    </row>
    <row r="127" spans="1:11" x14ac:dyDescent="0.3">
      <c r="A127" s="5" t="s">
        <v>34</v>
      </c>
      <c r="B127" s="7">
        <v>44970</v>
      </c>
      <c r="C127" s="5" t="s">
        <v>11</v>
      </c>
      <c r="D127" s="5" t="s">
        <v>102</v>
      </c>
      <c r="E127" s="5" t="s">
        <v>46</v>
      </c>
      <c r="F127" s="7">
        <v>45000</v>
      </c>
      <c r="G127" s="4">
        <v>129</v>
      </c>
      <c r="H127" s="5" t="s">
        <v>13</v>
      </c>
      <c r="I127" s="3">
        <v>75</v>
      </c>
      <c r="J127" s="3">
        <v>75</v>
      </c>
      <c r="K127">
        <f t="shared" si="1"/>
        <v>75</v>
      </c>
    </row>
    <row r="128" spans="1:11" x14ac:dyDescent="0.3">
      <c r="A128" s="5" t="s">
        <v>34</v>
      </c>
      <c r="B128" s="7">
        <v>44970</v>
      </c>
      <c r="C128" s="5" t="s">
        <v>11</v>
      </c>
      <c r="D128" s="5" t="s">
        <v>103</v>
      </c>
      <c r="E128" s="5" t="s">
        <v>46</v>
      </c>
      <c r="F128" s="7">
        <v>45000</v>
      </c>
      <c r="G128" s="4">
        <v>129</v>
      </c>
      <c r="H128" s="5" t="s">
        <v>13</v>
      </c>
      <c r="I128" s="3">
        <v>75</v>
      </c>
      <c r="J128" s="3">
        <v>75</v>
      </c>
      <c r="K128">
        <f t="shared" si="1"/>
        <v>75</v>
      </c>
    </row>
    <row r="129" spans="1:11" x14ac:dyDescent="0.3">
      <c r="A129" s="5" t="s">
        <v>34</v>
      </c>
      <c r="B129" s="7">
        <v>44972</v>
      </c>
      <c r="C129" s="5" t="s">
        <v>11</v>
      </c>
      <c r="D129" s="5">
        <v>3215</v>
      </c>
      <c r="E129" s="5" t="s">
        <v>73</v>
      </c>
      <c r="F129" s="7">
        <v>45002</v>
      </c>
      <c r="G129" s="4">
        <v>127</v>
      </c>
      <c r="H129" s="5" t="s">
        <v>13</v>
      </c>
      <c r="I129" s="3">
        <v>2298</v>
      </c>
      <c r="J129" s="3">
        <v>2298</v>
      </c>
      <c r="K129">
        <f t="shared" si="1"/>
        <v>2298</v>
      </c>
    </row>
    <row r="130" spans="1:11" x14ac:dyDescent="0.3">
      <c r="A130" s="5" t="s">
        <v>34</v>
      </c>
      <c r="B130" s="7">
        <v>44979</v>
      </c>
      <c r="C130" s="5" t="s">
        <v>11</v>
      </c>
      <c r="D130" s="5">
        <v>3232</v>
      </c>
      <c r="E130" s="5" t="s">
        <v>73</v>
      </c>
      <c r="F130" s="7">
        <v>45009</v>
      </c>
      <c r="G130" s="4">
        <v>120</v>
      </c>
      <c r="H130" s="5" t="s">
        <v>13</v>
      </c>
      <c r="I130" s="3">
        <v>590</v>
      </c>
      <c r="J130" s="3">
        <v>590</v>
      </c>
      <c r="K130">
        <f t="shared" si="1"/>
        <v>590</v>
      </c>
    </row>
    <row r="131" spans="1:11" x14ac:dyDescent="0.3">
      <c r="A131" s="5" t="s">
        <v>34</v>
      </c>
      <c r="B131" s="7">
        <v>44984</v>
      </c>
      <c r="C131" s="5" t="s">
        <v>11</v>
      </c>
      <c r="D131" s="5" t="s">
        <v>104</v>
      </c>
      <c r="E131" s="5" t="s">
        <v>46</v>
      </c>
      <c r="F131" s="7">
        <v>45014</v>
      </c>
      <c r="G131" s="4">
        <v>115</v>
      </c>
      <c r="H131" s="5" t="s">
        <v>13</v>
      </c>
      <c r="I131" s="3">
        <v>280</v>
      </c>
      <c r="J131" s="3">
        <v>280</v>
      </c>
      <c r="K131">
        <f t="shared" si="1"/>
        <v>280</v>
      </c>
    </row>
    <row r="132" spans="1:11" x14ac:dyDescent="0.3">
      <c r="A132" s="5" t="s">
        <v>34</v>
      </c>
      <c r="B132" s="7">
        <v>44985</v>
      </c>
      <c r="C132" s="5" t="s">
        <v>11</v>
      </c>
      <c r="D132" s="5">
        <v>13821</v>
      </c>
      <c r="E132" s="5" t="s">
        <v>105</v>
      </c>
      <c r="F132" s="7">
        <v>45015</v>
      </c>
      <c r="G132" s="4">
        <v>114</v>
      </c>
      <c r="H132" s="5" t="s">
        <v>13</v>
      </c>
      <c r="I132" s="3">
        <v>225</v>
      </c>
      <c r="J132" s="3">
        <v>225</v>
      </c>
      <c r="K132">
        <f t="shared" ref="K132:K195" si="2">IF(H132="91+ days",J132,0)</f>
        <v>225</v>
      </c>
    </row>
    <row r="133" spans="1:11" x14ac:dyDescent="0.3">
      <c r="A133" s="5" t="s">
        <v>34</v>
      </c>
      <c r="B133" s="7">
        <v>44986</v>
      </c>
      <c r="C133" s="5" t="s">
        <v>11</v>
      </c>
      <c r="D133" s="5">
        <v>3240</v>
      </c>
      <c r="E133" s="5" t="s">
        <v>73</v>
      </c>
      <c r="F133" s="7">
        <v>45016</v>
      </c>
      <c r="G133" s="4">
        <v>113</v>
      </c>
      <c r="H133" s="5" t="s">
        <v>13</v>
      </c>
      <c r="I133" s="3">
        <v>287</v>
      </c>
      <c r="J133" s="3">
        <v>287</v>
      </c>
      <c r="K133">
        <f t="shared" si="2"/>
        <v>287</v>
      </c>
    </row>
    <row r="134" spans="1:11" x14ac:dyDescent="0.3">
      <c r="A134" s="5" t="s">
        <v>34</v>
      </c>
      <c r="B134" s="7">
        <v>44991</v>
      </c>
      <c r="C134" s="5" t="s">
        <v>11</v>
      </c>
      <c r="D134" s="5" t="s">
        <v>106</v>
      </c>
      <c r="E134" s="5" t="s">
        <v>46</v>
      </c>
      <c r="F134" s="7">
        <v>45021</v>
      </c>
      <c r="G134" s="4">
        <v>108</v>
      </c>
      <c r="H134" s="5" t="s">
        <v>13</v>
      </c>
      <c r="I134" s="3">
        <v>70</v>
      </c>
      <c r="J134" s="3">
        <v>70</v>
      </c>
      <c r="K134">
        <f t="shared" si="2"/>
        <v>70</v>
      </c>
    </row>
    <row r="135" spans="1:11" x14ac:dyDescent="0.3">
      <c r="A135" s="5" t="s">
        <v>34</v>
      </c>
      <c r="B135" s="7">
        <v>45022</v>
      </c>
      <c r="C135" s="5" t="s">
        <v>11</v>
      </c>
      <c r="D135" s="5" t="s">
        <v>107</v>
      </c>
      <c r="E135" s="5" t="s">
        <v>88</v>
      </c>
      <c r="F135" s="7">
        <v>45022</v>
      </c>
      <c r="G135" s="4">
        <v>107</v>
      </c>
      <c r="H135" s="5" t="s">
        <v>13</v>
      </c>
      <c r="I135" s="3">
        <v>2136.98</v>
      </c>
      <c r="J135" s="3">
        <v>2136.98</v>
      </c>
      <c r="K135">
        <f t="shared" si="2"/>
        <v>2136.98</v>
      </c>
    </row>
    <row r="136" spans="1:11" x14ac:dyDescent="0.3">
      <c r="A136" s="5" t="s">
        <v>34</v>
      </c>
      <c r="B136" s="7">
        <v>45023</v>
      </c>
      <c r="C136" s="5" t="s">
        <v>11</v>
      </c>
      <c r="D136" s="5" t="s">
        <v>108</v>
      </c>
      <c r="E136" s="5" t="s">
        <v>53</v>
      </c>
      <c r="F136" s="7">
        <v>45023</v>
      </c>
      <c r="G136" s="4">
        <v>106</v>
      </c>
      <c r="H136" s="5" t="s">
        <v>13</v>
      </c>
      <c r="I136" s="3">
        <v>32850</v>
      </c>
      <c r="J136" s="3">
        <v>0.01</v>
      </c>
      <c r="K136">
        <f t="shared" si="2"/>
        <v>0.01</v>
      </c>
    </row>
    <row r="137" spans="1:11" x14ac:dyDescent="0.3">
      <c r="A137" s="5" t="s">
        <v>34</v>
      </c>
      <c r="B137" s="7">
        <v>45012</v>
      </c>
      <c r="C137" s="5" t="s">
        <v>11</v>
      </c>
      <c r="D137" s="5">
        <v>1032</v>
      </c>
      <c r="E137" s="5" t="s">
        <v>109</v>
      </c>
      <c r="F137" s="7">
        <v>45026</v>
      </c>
      <c r="G137" s="4">
        <v>103</v>
      </c>
      <c r="H137" s="5" t="s">
        <v>13</v>
      </c>
      <c r="I137" s="3">
        <v>3542.39</v>
      </c>
      <c r="J137" s="3">
        <v>3542.39</v>
      </c>
      <c r="K137">
        <f t="shared" si="2"/>
        <v>3542.39</v>
      </c>
    </row>
    <row r="138" spans="1:11" x14ac:dyDescent="0.3">
      <c r="A138" s="5" t="s">
        <v>34</v>
      </c>
      <c r="B138" s="7">
        <v>45012</v>
      </c>
      <c r="C138" s="5" t="s">
        <v>11</v>
      </c>
      <c r="D138" s="5">
        <v>1041</v>
      </c>
      <c r="E138" s="5" t="s">
        <v>109</v>
      </c>
      <c r="F138" s="7">
        <v>45026</v>
      </c>
      <c r="G138" s="4">
        <v>103</v>
      </c>
      <c r="H138" s="5" t="s">
        <v>13</v>
      </c>
      <c r="I138" s="3">
        <v>3332.39</v>
      </c>
      <c r="J138" s="3">
        <v>3332.39</v>
      </c>
      <c r="K138">
        <f t="shared" si="2"/>
        <v>3332.39</v>
      </c>
    </row>
    <row r="139" spans="1:11" x14ac:dyDescent="0.3">
      <c r="A139" s="5" t="s">
        <v>34</v>
      </c>
      <c r="B139" s="7">
        <v>45000</v>
      </c>
      <c r="C139" s="5" t="s">
        <v>11</v>
      </c>
      <c r="D139" s="5">
        <v>3285</v>
      </c>
      <c r="E139" s="5" t="s">
        <v>73</v>
      </c>
      <c r="F139" s="7">
        <v>45030</v>
      </c>
      <c r="G139" s="4">
        <v>99</v>
      </c>
      <c r="H139" s="5" t="s">
        <v>13</v>
      </c>
      <c r="I139" s="3">
        <v>255</v>
      </c>
      <c r="J139" s="3">
        <v>255</v>
      </c>
      <c r="K139">
        <f t="shared" si="2"/>
        <v>255</v>
      </c>
    </row>
    <row r="140" spans="1:11" x14ac:dyDescent="0.3">
      <c r="A140" s="5" t="s">
        <v>34</v>
      </c>
      <c r="B140" s="7">
        <v>45030</v>
      </c>
      <c r="C140" s="5" t="s">
        <v>11</v>
      </c>
      <c r="D140" s="5" t="s">
        <v>110</v>
      </c>
      <c r="E140" s="5" t="s">
        <v>111</v>
      </c>
      <c r="F140" s="7">
        <v>45030</v>
      </c>
      <c r="G140" s="4">
        <v>99</v>
      </c>
      <c r="H140" s="5" t="s">
        <v>13</v>
      </c>
      <c r="I140" s="3">
        <v>1516</v>
      </c>
      <c r="J140" s="3">
        <v>1516</v>
      </c>
      <c r="K140">
        <f t="shared" si="2"/>
        <v>1516</v>
      </c>
    </row>
    <row r="141" spans="1:11" x14ac:dyDescent="0.3">
      <c r="A141" s="5" t="s">
        <v>34</v>
      </c>
      <c r="B141" s="7">
        <v>45006</v>
      </c>
      <c r="C141" s="5" t="s">
        <v>11</v>
      </c>
      <c r="D141" s="5">
        <v>9283</v>
      </c>
      <c r="E141" s="5" t="s">
        <v>112</v>
      </c>
      <c r="F141" s="7">
        <v>45036</v>
      </c>
      <c r="G141" s="4">
        <v>93</v>
      </c>
      <c r="H141" s="5" t="s">
        <v>13</v>
      </c>
      <c r="I141" s="3">
        <v>2273.25</v>
      </c>
      <c r="J141" s="3">
        <v>2273.25</v>
      </c>
      <c r="K141">
        <f t="shared" si="2"/>
        <v>2273.25</v>
      </c>
    </row>
    <row r="142" spans="1:11" x14ac:dyDescent="0.3">
      <c r="A142" s="5" t="s">
        <v>34</v>
      </c>
      <c r="B142" s="7">
        <v>45007</v>
      </c>
      <c r="C142" s="5" t="s">
        <v>11</v>
      </c>
      <c r="D142" s="5">
        <v>3306</v>
      </c>
      <c r="E142" s="5" t="s">
        <v>73</v>
      </c>
      <c r="F142" s="7">
        <v>45037</v>
      </c>
      <c r="G142" s="4">
        <v>92</v>
      </c>
      <c r="H142" s="5" t="s">
        <v>13</v>
      </c>
      <c r="I142" s="3">
        <v>320</v>
      </c>
      <c r="J142" s="3">
        <v>320</v>
      </c>
      <c r="K142">
        <f t="shared" si="2"/>
        <v>320</v>
      </c>
    </row>
    <row r="143" spans="1:11" x14ac:dyDescent="0.3">
      <c r="A143" s="5" t="s">
        <v>34</v>
      </c>
      <c r="B143" s="7">
        <v>45014</v>
      </c>
      <c r="C143" s="5" t="s">
        <v>11</v>
      </c>
      <c r="D143" s="5">
        <v>3318</v>
      </c>
      <c r="E143" s="5" t="s">
        <v>73</v>
      </c>
      <c r="F143" s="7">
        <v>45044</v>
      </c>
      <c r="G143" s="4">
        <v>85</v>
      </c>
      <c r="H143" s="5" t="s">
        <v>29</v>
      </c>
      <c r="I143" s="3">
        <v>480</v>
      </c>
      <c r="J143" s="3">
        <v>480</v>
      </c>
      <c r="K143">
        <f t="shared" si="2"/>
        <v>0</v>
      </c>
    </row>
    <row r="144" spans="1:11" x14ac:dyDescent="0.3">
      <c r="A144" s="5" t="s">
        <v>34</v>
      </c>
      <c r="B144" s="7">
        <v>45017</v>
      </c>
      <c r="C144" s="5" t="s">
        <v>11</v>
      </c>
      <c r="D144" s="5" t="s">
        <v>113</v>
      </c>
      <c r="E144" s="5" t="s">
        <v>96</v>
      </c>
      <c r="F144" s="7">
        <v>45047</v>
      </c>
      <c r="G144" s="4">
        <v>82</v>
      </c>
      <c r="H144" s="5" t="s">
        <v>29</v>
      </c>
      <c r="I144" s="3">
        <v>126.65</v>
      </c>
      <c r="J144" s="3">
        <v>126.65</v>
      </c>
      <c r="K144">
        <f t="shared" si="2"/>
        <v>0</v>
      </c>
    </row>
    <row r="145" spans="1:11" x14ac:dyDescent="0.3">
      <c r="A145" s="5" t="s">
        <v>34</v>
      </c>
      <c r="B145" s="7">
        <v>45048</v>
      </c>
      <c r="C145" s="5" t="s">
        <v>11</v>
      </c>
      <c r="D145" s="5" t="s">
        <v>114</v>
      </c>
      <c r="E145" s="5" t="s">
        <v>50</v>
      </c>
      <c r="F145" s="7">
        <v>45048</v>
      </c>
      <c r="G145" s="4">
        <v>81</v>
      </c>
      <c r="H145" s="5" t="s">
        <v>29</v>
      </c>
      <c r="I145" s="3">
        <v>350</v>
      </c>
      <c r="J145" s="3">
        <v>350</v>
      </c>
      <c r="K145">
        <f t="shared" si="2"/>
        <v>0</v>
      </c>
    </row>
    <row r="146" spans="1:11" x14ac:dyDescent="0.3">
      <c r="A146" s="5" t="s">
        <v>34</v>
      </c>
      <c r="B146" s="7">
        <v>45048</v>
      </c>
      <c r="C146" s="5" t="s">
        <v>11</v>
      </c>
      <c r="D146" s="5" t="s">
        <v>115</v>
      </c>
      <c r="E146" s="5" t="s">
        <v>50</v>
      </c>
      <c r="F146" s="7">
        <v>45048</v>
      </c>
      <c r="G146" s="4">
        <v>81</v>
      </c>
      <c r="H146" s="5" t="s">
        <v>29</v>
      </c>
      <c r="I146" s="3">
        <v>350</v>
      </c>
      <c r="J146" s="3">
        <v>350</v>
      </c>
      <c r="K146">
        <f t="shared" si="2"/>
        <v>0</v>
      </c>
    </row>
    <row r="147" spans="1:11" x14ac:dyDescent="0.3">
      <c r="A147" s="5" t="s">
        <v>34</v>
      </c>
      <c r="B147" s="7">
        <v>45021</v>
      </c>
      <c r="C147" s="5" t="s">
        <v>11</v>
      </c>
      <c r="D147" s="5">
        <v>3352</v>
      </c>
      <c r="E147" s="5" t="s">
        <v>73</v>
      </c>
      <c r="F147" s="7">
        <v>45051</v>
      </c>
      <c r="G147" s="4">
        <v>78</v>
      </c>
      <c r="H147" s="5" t="s">
        <v>29</v>
      </c>
      <c r="I147" s="3">
        <v>2152.5</v>
      </c>
      <c r="J147" s="3">
        <v>2152.5</v>
      </c>
      <c r="K147">
        <f t="shared" si="2"/>
        <v>0</v>
      </c>
    </row>
    <row r="148" spans="1:11" x14ac:dyDescent="0.3">
      <c r="A148" s="5" t="s">
        <v>34</v>
      </c>
      <c r="B148" s="7">
        <v>45051</v>
      </c>
      <c r="C148" s="5" t="s">
        <v>11</v>
      </c>
      <c r="D148" s="5" t="s">
        <v>116</v>
      </c>
      <c r="E148" s="5" t="s">
        <v>88</v>
      </c>
      <c r="F148" s="7">
        <v>45051</v>
      </c>
      <c r="G148" s="4">
        <v>78</v>
      </c>
      <c r="H148" s="5" t="s">
        <v>29</v>
      </c>
      <c r="I148" s="3">
        <v>3095.95</v>
      </c>
      <c r="J148" s="3">
        <v>3095.95</v>
      </c>
      <c r="K148">
        <f t="shared" si="2"/>
        <v>0</v>
      </c>
    </row>
    <row r="149" spans="1:11" x14ac:dyDescent="0.3">
      <c r="A149" s="5" t="s">
        <v>34</v>
      </c>
      <c r="B149" s="7">
        <v>45053</v>
      </c>
      <c r="C149" s="5" t="s">
        <v>11</v>
      </c>
      <c r="D149" s="5">
        <v>4974</v>
      </c>
      <c r="E149" s="5" t="s">
        <v>40</v>
      </c>
      <c r="F149" s="7">
        <v>45053</v>
      </c>
      <c r="G149" s="4">
        <v>76</v>
      </c>
      <c r="H149" s="5" t="s">
        <v>29</v>
      </c>
      <c r="I149" s="3">
        <v>4647</v>
      </c>
      <c r="J149" s="3">
        <v>4647</v>
      </c>
      <c r="K149">
        <f t="shared" si="2"/>
        <v>0</v>
      </c>
    </row>
    <row r="150" spans="1:11" x14ac:dyDescent="0.3">
      <c r="A150" s="5" t="s">
        <v>34</v>
      </c>
      <c r="B150" s="7">
        <v>45053</v>
      </c>
      <c r="C150" s="5" t="s">
        <v>11</v>
      </c>
      <c r="D150" s="5">
        <v>5160</v>
      </c>
      <c r="E150" s="5" t="s">
        <v>40</v>
      </c>
      <c r="F150" s="7">
        <v>45053</v>
      </c>
      <c r="G150" s="4">
        <v>76</v>
      </c>
      <c r="H150" s="5" t="s">
        <v>29</v>
      </c>
      <c r="I150" s="3">
        <v>1939</v>
      </c>
      <c r="J150" s="3">
        <v>1939</v>
      </c>
      <c r="K150">
        <f t="shared" si="2"/>
        <v>0</v>
      </c>
    </row>
    <row r="151" spans="1:11" x14ac:dyDescent="0.3">
      <c r="A151" s="5" t="s">
        <v>34</v>
      </c>
      <c r="B151" s="7">
        <v>45055</v>
      </c>
      <c r="C151" s="5" t="s">
        <v>11</v>
      </c>
      <c r="D151" s="5" t="s">
        <v>117</v>
      </c>
      <c r="E151" s="5" t="s">
        <v>118</v>
      </c>
      <c r="F151" s="7">
        <v>45055</v>
      </c>
      <c r="G151" s="4">
        <v>74</v>
      </c>
      <c r="H151" s="5" t="s">
        <v>29</v>
      </c>
      <c r="I151" s="3">
        <v>7443.75</v>
      </c>
      <c r="J151" s="3">
        <v>7443.75</v>
      </c>
      <c r="K151">
        <f t="shared" si="2"/>
        <v>0</v>
      </c>
    </row>
    <row r="152" spans="1:11" x14ac:dyDescent="0.3">
      <c r="A152" s="5" t="s">
        <v>34</v>
      </c>
      <c r="B152" s="7">
        <v>45028</v>
      </c>
      <c r="C152" s="5" t="s">
        <v>11</v>
      </c>
      <c r="D152" s="5">
        <v>3374</v>
      </c>
      <c r="E152" s="5" t="s">
        <v>73</v>
      </c>
      <c r="F152" s="7">
        <v>45058</v>
      </c>
      <c r="G152" s="4">
        <v>71</v>
      </c>
      <c r="H152" s="5" t="s">
        <v>29</v>
      </c>
      <c r="I152" s="3">
        <v>1641.5</v>
      </c>
      <c r="J152" s="3">
        <v>1641.5</v>
      </c>
      <c r="K152">
        <f t="shared" si="2"/>
        <v>0</v>
      </c>
    </row>
    <row r="153" spans="1:11" x14ac:dyDescent="0.3">
      <c r="A153" s="5" t="s">
        <v>34</v>
      </c>
      <c r="B153" s="7">
        <v>45035</v>
      </c>
      <c r="C153" s="5" t="s">
        <v>11</v>
      </c>
      <c r="D153" s="5">
        <v>3391</v>
      </c>
      <c r="E153" s="5" t="s">
        <v>73</v>
      </c>
      <c r="F153" s="7">
        <v>45065</v>
      </c>
      <c r="G153" s="4">
        <v>64</v>
      </c>
      <c r="H153" s="5" t="s">
        <v>29</v>
      </c>
      <c r="I153" s="3">
        <v>3700</v>
      </c>
      <c r="J153" s="3">
        <v>3700</v>
      </c>
      <c r="K153">
        <f t="shared" si="2"/>
        <v>0</v>
      </c>
    </row>
    <row r="154" spans="1:11" x14ac:dyDescent="0.3">
      <c r="A154" s="5" t="s">
        <v>34</v>
      </c>
      <c r="B154" s="7">
        <v>45070</v>
      </c>
      <c r="C154" s="5" t="s">
        <v>11</v>
      </c>
      <c r="D154" s="5" t="s">
        <v>119</v>
      </c>
      <c r="E154" s="5" t="s">
        <v>88</v>
      </c>
      <c r="F154" s="7">
        <v>45070</v>
      </c>
      <c r="G154" s="4">
        <v>59</v>
      </c>
      <c r="H154" s="5" t="s">
        <v>31</v>
      </c>
      <c r="I154" s="3">
        <v>12799.21</v>
      </c>
      <c r="J154" s="3">
        <v>12799.21</v>
      </c>
      <c r="K154">
        <f t="shared" si="2"/>
        <v>0</v>
      </c>
    </row>
    <row r="155" spans="1:11" x14ac:dyDescent="0.3">
      <c r="A155" s="5" t="s">
        <v>34</v>
      </c>
      <c r="B155" s="7">
        <v>45073</v>
      </c>
      <c r="C155" s="5" t="s">
        <v>11</v>
      </c>
      <c r="D155" s="5">
        <v>5251</v>
      </c>
      <c r="E155" s="5" t="s">
        <v>40</v>
      </c>
      <c r="F155" s="7">
        <v>45073</v>
      </c>
      <c r="G155" s="4">
        <v>56</v>
      </c>
      <c r="H155" s="5" t="s">
        <v>31</v>
      </c>
      <c r="I155" s="3">
        <v>571</v>
      </c>
      <c r="J155" s="3">
        <v>571</v>
      </c>
      <c r="K155">
        <f t="shared" si="2"/>
        <v>0</v>
      </c>
    </row>
    <row r="156" spans="1:11" x14ac:dyDescent="0.3">
      <c r="A156" s="5" t="s">
        <v>34</v>
      </c>
      <c r="B156" s="7">
        <v>45076</v>
      </c>
      <c r="C156" s="5" t="s">
        <v>11</v>
      </c>
      <c r="D156" s="5">
        <v>113867</v>
      </c>
      <c r="E156" s="5" t="s">
        <v>120</v>
      </c>
      <c r="F156" s="7">
        <v>45076</v>
      </c>
      <c r="G156" s="4">
        <v>53</v>
      </c>
      <c r="H156" s="5" t="s">
        <v>31</v>
      </c>
      <c r="I156" s="3">
        <v>575</v>
      </c>
      <c r="J156" s="3">
        <v>575</v>
      </c>
      <c r="K156">
        <f t="shared" si="2"/>
        <v>0</v>
      </c>
    </row>
    <row r="157" spans="1:11" x14ac:dyDescent="0.3">
      <c r="A157" s="5" t="s">
        <v>34</v>
      </c>
      <c r="B157" s="7">
        <v>45097</v>
      </c>
      <c r="C157" s="5" t="s">
        <v>11</v>
      </c>
      <c r="D157" s="5" t="s">
        <v>121</v>
      </c>
      <c r="E157" s="5" t="s">
        <v>122</v>
      </c>
      <c r="F157" s="7">
        <v>45097</v>
      </c>
      <c r="G157" s="4">
        <v>32</v>
      </c>
      <c r="H157" s="5" t="s">
        <v>31</v>
      </c>
      <c r="I157" s="3">
        <v>6576.19</v>
      </c>
      <c r="J157" s="3">
        <v>6576.19</v>
      </c>
      <c r="K157">
        <f t="shared" si="2"/>
        <v>0</v>
      </c>
    </row>
    <row r="158" spans="1:11" x14ac:dyDescent="0.3">
      <c r="A158" s="5" t="s">
        <v>34</v>
      </c>
      <c r="B158" s="7">
        <v>45121</v>
      </c>
      <c r="C158" s="5" t="s">
        <v>11</v>
      </c>
      <c r="D158" s="5" t="s">
        <v>123</v>
      </c>
      <c r="E158" s="5" t="s">
        <v>50</v>
      </c>
      <c r="F158" s="7">
        <v>45121</v>
      </c>
      <c r="G158" s="4">
        <v>8</v>
      </c>
      <c r="H158" s="5" t="s">
        <v>33</v>
      </c>
      <c r="I158" s="3">
        <v>500</v>
      </c>
      <c r="J158" s="3">
        <v>500</v>
      </c>
      <c r="K158">
        <f t="shared" si="2"/>
        <v>0</v>
      </c>
    </row>
    <row r="159" spans="1:11" x14ac:dyDescent="0.3">
      <c r="A159" s="5" t="s">
        <v>124</v>
      </c>
      <c r="B159" s="7">
        <v>44844</v>
      </c>
      <c r="C159" s="5" t="s">
        <v>11</v>
      </c>
      <c r="D159" s="5">
        <v>221019</v>
      </c>
      <c r="E159" s="5" t="s">
        <v>15</v>
      </c>
      <c r="F159" s="7">
        <v>44844</v>
      </c>
      <c r="G159" s="4">
        <v>285</v>
      </c>
      <c r="H159" s="5" t="s">
        <v>13</v>
      </c>
      <c r="I159" s="3">
        <v>2625</v>
      </c>
      <c r="J159" s="3">
        <v>2625</v>
      </c>
      <c r="K159">
        <f t="shared" si="2"/>
        <v>2625</v>
      </c>
    </row>
    <row r="160" spans="1:11" x14ac:dyDescent="0.3">
      <c r="A160" s="5" t="s">
        <v>124</v>
      </c>
      <c r="B160" s="7">
        <v>44844</v>
      </c>
      <c r="C160" s="5" t="s">
        <v>11</v>
      </c>
      <c r="D160" s="5">
        <v>221011</v>
      </c>
      <c r="E160" s="5" t="s">
        <v>15</v>
      </c>
      <c r="F160" s="7">
        <v>44844</v>
      </c>
      <c r="G160" s="4">
        <v>285</v>
      </c>
      <c r="H160" s="5" t="s">
        <v>13</v>
      </c>
      <c r="I160" s="3">
        <v>1375</v>
      </c>
      <c r="J160" s="3">
        <v>1375</v>
      </c>
      <c r="K160">
        <f t="shared" si="2"/>
        <v>1375</v>
      </c>
    </row>
    <row r="161" spans="1:11" x14ac:dyDescent="0.3">
      <c r="A161" s="5" t="s">
        <v>124</v>
      </c>
      <c r="B161" s="7">
        <v>44894</v>
      </c>
      <c r="C161" s="5" t="s">
        <v>11</v>
      </c>
      <c r="D161" s="5">
        <v>53447</v>
      </c>
      <c r="E161" s="5" t="s">
        <v>125</v>
      </c>
      <c r="F161" s="7">
        <v>44894</v>
      </c>
      <c r="G161" s="4">
        <v>235</v>
      </c>
      <c r="H161" s="5" t="s">
        <v>13</v>
      </c>
      <c r="I161" s="3">
        <v>100</v>
      </c>
      <c r="J161" s="3">
        <v>100</v>
      </c>
      <c r="K161">
        <f t="shared" si="2"/>
        <v>100</v>
      </c>
    </row>
    <row r="162" spans="1:11" x14ac:dyDescent="0.3">
      <c r="A162" s="5" t="s">
        <v>124</v>
      </c>
      <c r="B162" s="7">
        <v>44894</v>
      </c>
      <c r="C162" s="5" t="s">
        <v>11</v>
      </c>
      <c r="D162" s="5">
        <v>53454</v>
      </c>
      <c r="E162" s="5" t="s">
        <v>125</v>
      </c>
      <c r="F162" s="7">
        <v>44894</v>
      </c>
      <c r="G162" s="4">
        <v>235</v>
      </c>
      <c r="H162" s="5" t="s">
        <v>13</v>
      </c>
      <c r="I162" s="3">
        <v>100</v>
      </c>
      <c r="J162" s="3">
        <v>100</v>
      </c>
      <c r="K162">
        <f t="shared" si="2"/>
        <v>100</v>
      </c>
    </row>
    <row r="163" spans="1:11" x14ac:dyDescent="0.3">
      <c r="A163" s="5" t="s">
        <v>124</v>
      </c>
      <c r="B163" s="7">
        <v>44895</v>
      </c>
      <c r="C163" s="5" t="s">
        <v>11</v>
      </c>
      <c r="D163" s="5">
        <v>17419</v>
      </c>
      <c r="E163" s="5" t="s">
        <v>47</v>
      </c>
      <c r="F163" s="7">
        <v>44905</v>
      </c>
      <c r="G163" s="4">
        <v>224</v>
      </c>
      <c r="H163" s="5" t="s">
        <v>13</v>
      </c>
      <c r="I163" s="3">
        <v>12500</v>
      </c>
      <c r="J163" s="3">
        <v>12500</v>
      </c>
      <c r="K163">
        <f t="shared" si="2"/>
        <v>12500</v>
      </c>
    </row>
    <row r="164" spans="1:11" x14ac:dyDescent="0.3">
      <c r="A164" s="5" t="s">
        <v>124</v>
      </c>
      <c r="B164" s="7">
        <v>44894</v>
      </c>
      <c r="C164" s="5" t="s">
        <v>11</v>
      </c>
      <c r="D164" s="5">
        <v>53455</v>
      </c>
      <c r="E164" s="5" t="s">
        <v>125</v>
      </c>
      <c r="F164" s="7">
        <v>44907</v>
      </c>
      <c r="G164" s="4">
        <v>222</v>
      </c>
      <c r="H164" s="5" t="s">
        <v>13</v>
      </c>
      <c r="I164" s="3">
        <v>2575</v>
      </c>
      <c r="J164" s="3">
        <v>2575</v>
      </c>
      <c r="K164">
        <f t="shared" si="2"/>
        <v>2575</v>
      </c>
    </row>
    <row r="165" spans="1:11" x14ac:dyDescent="0.3">
      <c r="A165" s="5" t="s">
        <v>124</v>
      </c>
      <c r="B165" s="7">
        <v>44894</v>
      </c>
      <c r="C165" s="5" t="s">
        <v>11</v>
      </c>
      <c r="D165" s="5">
        <v>53444</v>
      </c>
      <c r="E165" s="5" t="s">
        <v>125</v>
      </c>
      <c r="F165" s="7">
        <v>44907</v>
      </c>
      <c r="G165" s="4">
        <v>222</v>
      </c>
      <c r="H165" s="5" t="s">
        <v>13</v>
      </c>
      <c r="I165" s="3">
        <v>337</v>
      </c>
      <c r="J165" s="3">
        <v>337</v>
      </c>
      <c r="K165">
        <f t="shared" si="2"/>
        <v>337</v>
      </c>
    </row>
    <row r="166" spans="1:11" x14ac:dyDescent="0.3">
      <c r="A166" s="5" t="s">
        <v>124</v>
      </c>
      <c r="B166" s="7">
        <v>44894</v>
      </c>
      <c r="C166" s="5" t="s">
        <v>11</v>
      </c>
      <c r="D166" s="5">
        <v>53445</v>
      </c>
      <c r="E166" s="5" t="s">
        <v>125</v>
      </c>
      <c r="F166" s="7">
        <v>44907</v>
      </c>
      <c r="G166" s="4">
        <v>222</v>
      </c>
      <c r="H166" s="5" t="s">
        <v>13</v>
      </c>
      <c r="I166" s="3">
        <v>100</v>
      </c>
      <c r="J166" s="3">
        <v>100</v>
      </c>
      <c r="K166">
        <f t="shared" si="2"/>
        <v>100</v>
      </c>
    </row>
    <row r="167" spans="1:11" x14ac:dyDescent="0.3">
      <c r="A167" s="5" t="s">
        <v>124</v>
      </c>
      <c r="B167" s="7">
        <v>44894</v>
      </c>
      <c r="C167" s="5" t="s">
        <v>11</v>
      </c>
      <c r="D167" s="5">
        <v>53446</v>
      </c>
      <c r="E167" s="5" t="s">
        <v>125</v>
      </c>
      <c r="F167" s="7">
        <v>44907</v>
      </c>
      <c r="G167" s="4">
        <v>222</v>
      </c>
      <c r="H167" s="5" t="s">
        <v>13</v>
      </c>
      <c r="I167" s="3">
        <v>100</v>
      </c>
      <c r="J167" s="3">
        <v>100</v>
      </c>
      <c r="K167">
        <f t="shared" si="2"/>
        <v>100</v>
      </c>
    </row>
    <row r="168" spans="1:11" x14ac:dyDescent="0.3">
      <c r="A168" s="5" t="s">
        <v>124</v>
      </c>
      <c r="B168" s="7">
        <v>44894</v>
      </c>
      <c r="C168" s="5" t="s">
        <v>11</v>
      </c>
      <c r="D168" s="5">
        <v>53448</v>
      </c>
      <c r="E168" s="5" t="s">
        <v>125</v>
      </c>
      <c r="F168" s="7">
        <v>44907</v>
      </c>
      <c r="G168" s="4">
        <v>222</v>
      </c>
      <c r="H168" s="5" t="s">
        <v>13</v>
      </c>
      <c r="I168" s="3">
        <v>100</v>
      </c>
      <c r="J168" s="3">
        <v>100</v>
      </c>
      <c r="K168">
        <f t="shared" si="2"/>
        <v>100</v>
      </c>
    </row>
    <row r="169" spans="1:11" x14ac:dyDescent="0.3">
      <c r="A169" s="5" t="s">
        <v>124</v>
      </c>
      <c r="B169" s="7">
        <v>44894</v>
      </c>
      <c r="C169" s="5" t="s">
        <v>11</v>
      </c>
      <c r="D169" s="5">
        <v>53449</v>
      </c>
      <c r="E169" s="5" t="s">
        <v>125</v>
      </c>
      <c r="F169" s="7">
        <v>44907</v>
      </c>
      <c r="G169" s="4">
        <v>222</v>
      </c>
      <c r="H169" s="5" t="s">
        <v>13</v>
      </c>
      <c r="I169" s="3">
        <v>100</v>
      </c>
      <c r="J169" s="3">
        <v>100</v>
      </c>
      <c r="K169">
        <f t="shared" si="2"/>
        <v>100</v>
      </c>
    </row>
    <row r="170" spans="1:11" x14ac:dyDescent="0.3">
      <c r="A170" s="5" t="s">
        <v>124</v>
      </c>
      <c r="B170" s="7">
        <v>44894</v>
      </c>
      <c r="C170" s="5" t="s">
        <v>11</v>
      </c>
      <c r="D170" s="5">
        <v>53450</v>
      </c>
      <c r="E170" s="5" t="s">
        <v>125</v>
      </c>
      <c r="F170" s="7">
        <v>44907</v>
      </c>
      <c r="G170" s="4">
        <v>222</v>
      </c>
      <c r="H170" s="5" t="s">
        <v>13</v>
      </c>
      <c r="I170" s="3">
        <v>100</v>
      </c>
      <c r="J170" s="3">
        <v>100</v>
      </c>
      <c r="K170">
        <f t="shared" si="2"/>
        <v>100</v>
      </c>
    </row>
    <row r="171" spans="1:11" x14ac:dyDescent="0.3">
      <c r="A171" s="5" t="s">
        <v>124</v>
      </c>
      <c r="B171" s="7">
        <v>44894</v>
      </c>
      <c r="C171" s="5" t="s">
        <v>11</v>
      </c>
      <c r="D171" s="5">
        <v>53451</v>
      </c>
      <c r="E171" s="5" t="s">
        <v>125</v>
      </c>
      <c r="F171" s="7">
        <v>44907</v>
      </c>
      <c r="G171" s="4">
        <v>222</v>
      </c>
      <c r="H171" s="5" t="s">
        <v>13</v>
      </c>
      <c r="I171" s="3">
        <v>100</v>
      </c>
      <c r="J171" s="3">
        <v>100</v>
      </c>
      <c r="K171">
        <f t="shared" si="2"/>
        <v>100</v>
      </c>
    </row>
    <row r="172" spans="1:11" x14ac:dyDescent="0.3">
      <c r="A172" s="5" t="s">
        <v>124</v>
      </c>
      <c r="B172" s="7">
        <v>44894</v>
      </c>
      <c r="C172" s="5" t="s">
        <v>11</v>
      </c>
      <c r="D172" s="5">
        <v>53452</v>
      </c>
      <c r="E172" s="5" t="s">
        <v>125</v>
      </c>
      <c r="F172" s="7">
        <v>44907</v>
      </c>
      <c r="G172" s="4">
        <v>222</v>
      </c>
      <c r="H172" s="5" t="s">
        <v>13</v>
      </c>
      <c r="I172" s="3">
        <v>100</v>
      </c>
      <c r="J172" s="3">
        <v>100</v>
      </c>
      <c r="K172">
        <f t="shared" si="2"/>
        <v>100</v>
      </c>
    </row>
    <row r="173" spans="1:11" x14ac:dyDescent="0.3">
      <c r="A173" s="5" t="s">
        <v>124</v>
      </c>
      <c r="B173" s="7">
        <v>44894</v>
      </c>
      <c r="C173" s="5" t="s">
        <v>11</v>
      </c>
      <c r="D173" s="5">
        <v>53453</v>
      </c>
      <c r="E173" s="5" t="s">
        <v>125</v>
      </c>
      <c r="F173" s="7">
        <v>44907</v>
      </c>
      <c r="G173" s="4">
        <v>222</v>
      </c>
      <c r="H173" s="5" t="s">
        <v>13</v>
      </c>
      <c r="I173" s="3">
        <v>100</v>
      </c>
      <c r="J173" s="3">
        <v>100</v>
      </c>
      <c r="K173">
        <f t="shared" si="2"/>
        <v>100</v>
      </c>
    </row>
    <row r="174" spans="1:11" x14ac:dyDescent="0.3">
      <c r="A174" s="5" t="s">
        <v>124</v>
      </c>
      <c r="B174" s="7">
        <v>44925</v>
      </c>
      <c r="C174" s="5" t="s">
        <v>11</v>
      </c>
      <c r="D174" s="5">
        <v>17452</v>
      </c>
      <c r="E174" s="5" t="s">
        <v>47</v>
      </c>
      <c r="F174" s="7">
        <v>44940</v>
      </c>
      <c r="G174" s="4">
        <v>189</v>
      </c>
      <c r="H174" s="5" t="s">
        <v>13</v>
      </c>
      <c r="I174" s="3">
        <v>10325</v>
      </c>
      <c r="J174" s="3">
        <v>10325</v>
      </c>
      <c r="K174">
        <f t="shared" si="2"/>
        <v>10325</v>
      </c>
    </row>
    <row r="175" spans="1:11" x14ac:dyDescent="0.3">
      <c r="A175" s="5" t="s">
        <v>124</v>
      </c>
      <c r="B175" s="7">
        <v>45012</v>
      </c>
      <c r="C175" s="5" t="s">
        <v>11</v>
      </c>
      <c r="D175" s="5">
        <v>1038</v>
      </c>
      <c r="E175" s="5" t="s">
        <v>109</v>
      </c>
      <c r="F175" s="7">
        <v>45026</v>
      </c>
      <c r="G175" s="4">
        <v>103</v>
      </c>
      <c r="H175" s="5" t="s">
        <v>13</v>
      </c>
      <c r="I175" s="3">
        <v>9842.39</v>
      </c>
      <c r="J175" s="3">
        <v>9842.39</v>
      </c>
      <c r="K175">
        <f t="shared" si="2"/>
        <v>9842.39</v>
      </c>
    </row>
    <row r="176" spans="1:11" x14ac:dyDescent="0.3">
      <c r="A176" s="5" t="s">
        <v>124</v>
      </c>
      <c r="B176" s="7">
        <v>45012</v>
      </c>
      <c r="C176" s="5" t="s">
        <v>11</v>
      </c>
      <c r="D176" s="5">
        <v>1035</v>
      </c>
      <c r="E176" s="5" t="s">
        <v>109</v>
      </c>
      <c r="F176" s="7">
        <v>45026</v>
      </c>
      <c r="G176" s="4">
        <v>103</v>
      </c>
      <c r="H176" s="5" t="s">
        <v>13</v>
      </c>
      <c r="I176" s="3">
        <v>7322.39</v>
      </c>
      <c r="J176" s="3">
        <v>7322.39</v>
      </c>
      <c r="K176">
        <f t="shared" si="2"/>
        <v>7322.39</v>
      </c>
    </row>
    <row r="177" spans="1:11" x14ac:dyDescent="0.3">
      <c r="A177" s="5" t="s">
        <v>124</v>
      </c>
      <c r="B177" s="7">
        <v>45045</v>
      </c>
      <c r="C177" s="5" t="s">
        <v>11</v>
      </c>
      <c r="D177" s="5">
        <v>230413</v>
      </c>
      <c r="E177" s="5" t="s">
        <v>15</v>
      </c>
      <c r="F177" s="7">
        <v>45045</v>
      </c>
      <c r="G177" s="4">
        <v>84</v>
      </c>
      <c r="H177" s="5" t="s">
        <v>29</v>
      </c>
      <c r="I177" s="3">
        <v>250</v>
      </c>
      <c r="J177" s="3">
        <v>250</v>
      </c>
      <c r="K177">
        <f t="shared" si="2"/>
        <v>0</v>
      </c>
    </row>
    <row r="178" spans="1:11" x14ac:dyDescent="0.3">
      <c r="A178" s="5" t="s">
        <v>126</v>
      </c>
      <c r="B178" s="7">
        <v>44377</v>
      </c>
      <c r="C178" s="5" t="s">
        <v>11</v>
      </c>
      <c r="D178" s="5">
        <v>17080</v>
      </c>
      <c r="E178" s="5" t="s">
        <v>47</v>
      </c>
      <c r="F178" s="7">
        <v>44387</v>
      </c>
      <c r="G178" s="4">
        <v>742</v>
      </c>
      <c r="H178" s="5" t="s">
        <v>13</v>
      </c>
      <c r="I178" s="3">
        <v>36081.56</v>
      </c>
      <c r="J178" s="3">
        <v>36081.56</v>
      </c>
      <c r="K178">
        <f t="shared" si="2"/>
        <v>36081.56</v>
      </c>
    </row>
    <row r="179" spans="1:11" x14ac:dyDescent="0.3">
      <c r="A179" s="5" t="s">
        <v>126</v>
      </c>
      <c r="B179" s="7">
        <v>44399</v>
      </c>
      <c r="C179" s="5" t="s">
        <v>11</v>
      </c>
      <c r="D179" s="5">
        <v>17084</v>
      </c>
      <c r="E179" s="5" t="s">
        <v>47</v>
      </c>
      <c r="F179" s="7">
        <v>44399</v>
      </c>
      <c r="G179" s="4">
        <v>730</v>
      </c>
      <c r="H179" s="5" t="s">
        <v>13</v>
      </c>
      <c r="I179" s="3">
        <v>1576.76</v>
      </c>
      <c r="J179" s="3">
        <v>1576.76</v>
      </c>
      <c r="K179">
        <f t="shared" si="2"/>
        <v>1576.76</v>
      </c>
    </row>
    <row r="180" spans="1:11" x14ac:dyDescent="0.3">
      <c r="A180" s="5" t="s">
        <v>126</v>
      </c>
      <c r="B180" s="7">
        <v>44421</v>
      </c>
      <c r="C180" s="5" t="s">
        <v>11</v>
      </c>
      <c r="D180" s="5">
        <v>17104</v>
      </c>
      <c r="E180" s="5" t="s">
        <v>47</v>
      </c>
      <c r="F180" s="7">
        <v>44431</v>
      </c>
      <c r="G180" s="4">
        <v>698</v>
      </c>
      <c r="H180" s="5" t="s">
        <v>13</v>
      </c>
      <c r="I180" s="3">
        <v>12500.78</v>
      </c>
      <c r="J180" s="3">
        <v>12500.78</v>
      </c>
      <c r="K180">
        <f t="shared" si="2"/>
        <v>12500.78</v>
      </c>
    </row>
    <row r="181" spans="1:11" x14ac:dyDescent="0.3">
      <c r="A181" s="5" t="s">
        <v>126</v>
      </c>
      <c r="B181" s="7">
        <v>44592</v>
      </c>
      <c r="C181" s="5" t="s">
        <v>11</v>
      </c>
      <c r="D181" s="5">
        <v>17222</v>
      </c>
      <c r="E181" s="5" t="s">
        <v>47</v>
      </c>
      <c r="F181" s="7">
        <v>44592</v>
      </c>
      <c r="G181" s="4">
        <v>537</v>
      </c>
      <c r="H181" s="5" t="s">
        <v>13</v>
      </c>
      <c r="I181" s="3">
        <v>4250</v>
      </c>
      <c r="J181" s="3">
        <v>4250</v>
      </c>
      <c r="K181">
        <f t="shared" si="2"/>
        <v>4250</v>
      </c>
    </row>
    <row r="182" spans="1:11" x14ac:dyDescent="0.3">
      <c r="A182" s="5" t="s">
        <v>126</v>
      </c>
      <c r="B182" s="7">
        <v>44657</v>
      </c>
      <c r="C182" s="5" t="s">
        <v>11</v>
      </c>
      <c r="D182" s="5">
        <v>17263</v>
      </c>
      <c r="E182" s="5" t="s">
        <v>47</v>
      </c>
      <c r="F182" s="7">
        <v>44657</v>
      </c>
      <c r="G182" s="4">
        <v>472</v>
      </c>
      <c r="H182" s="5" t="s">
        <v>13</v>
      </c>
      <c r="I182" s="3">
        <v>3187.5</v>
      </c>
      <c r="J182" s="3">
        <v>3187.5</v>
      </c>
      <c r="K182">
        <f t="shared" si="2"/>
        <v>3187.5</v>
      </c>
    </row>
    <row r="183" spans="1:11" x14ac:dyDescent="0.3">
      <c r="A183" s="5" t="s">
        <v>126</v>
      </c>
      <c r="B183" s="7">
        <v>44705</v>
      </c>
      <c r="C183" s="5" t="s">
        <v>11</v>
      </c>
      <c r="D183" s="5">
        <v>17301</v>
      </c>
      <c r="E183" s="5" t="s">
        <v>47</v>
      </c>
      <c r="F183" s="7">
        <v>44705</v>
      </c>
      <c r="G183" s="4">
        <v>424</v>
      </c>
      <c r="H183" s="5" t="s">
        <v>13</v>
      </c>
      <c r="I183" s="3">
        <v>2350.7800000000002</v>
      </c>
      <c r="J183" s="3">
        <v>2350.7800000000002</v>
      </c>
      <c r="K183">
        <f t="shared" si="2"/>
        <v>2350.7800000000002</v>
      </c>
    </row>
    <row r="184" spans="1:11" x14ac:dyDescent="0.3">
      <c r="A184" s="5" t="s">
        <v>126</v>
      </c>
      <c r="B184" s="7">
        <v>44769</v>
      </c>
      <c r="C184" s="5" t="s">
        <v>11</v>
      </c>
      <c r="D184" s="5">
        <v>17324</v>
      </c>
      <c r="E184" s="5" t="s">
        <v>47</v>
      </c>
      <c r="F184" s="7">
        <v>44769</v>
      </c>
      <c r="G184" s="4">
        <v>360</v>
      </c>
      <c r="H184" s="5" t="s">
        <v>13</v>
      </c>
      <c r="I184" s="3">
        <v>362.5</v>
      </c>
      <c r="J184" s="3">
        <v>362.5</v>
      </c>
      <c r="K184">
        <f t="shared" si="2"/>
        <v>362.5</v>
      </c>
    </row>
    <row r="185" spans="1:11" x14ac:dyDescent="0.3">
      <c r="A185" s="5" t="s">
        <v>126</v>
      </c>
      <c r="B185" s="7">
        <v>44846</v>
      </c>
      <c r="C185" s="5" t="s">
        <v>11</v>
      </c>
      <c r="D185" s="5">
        <v>2944</v>
      </c>
      <c r="E185" s="5" t="s">
        <v>73</v>
      </c>
      <c r="F185" s="7">
        <v>44846</v>
      </c>
      <c r="G185" s="4">
        <v>283</v>
      </c>
      <c r="H185" s="5" t="s">
        <v>13</v>
      </c>
      <c r="I185" s="3">
        <v>2325</v>
      </c>
      <c r="J185" s="3">
        <v>2325</v>
      </c>
      <c r="K185">
        <f t="shared" si="2"/>
        <v>2325</v>
      </c>
    </row>
    <row r="186" spans="1:11" x14ac:dyDescent="0.3">
      <c r="A186" s="5" t="s">
        <v>126</v>
      </c>
      <c r="B186" s="7">
        <v>44867</v>
      </c>
      <c r="C186" s="5" t="s">
        <v>11</v>
      </c>
      <c r="D186" s="5">
        <v>17396</v>
      </c>
      <c r="E186" s="5" t="s">
        <v>47</v>
      </c>
      <c r="F186" s="7">
        <v>44877</v>
      </c>
      <c r="G186" s="4">
        <v>252</v>
      </c>
      <c r="H186" s="5" t="s">
        <v>13</v>
      </c>
      <c r="I186" s="3">
        <v>750</v>
      </c>
      <c r="J186" s="3">
        <v>750</v>
      </c>
      <c r="K186">
        <f t="shared" si="2"/>
        <v>750</v>
      </c>
    </row>
    <row r="187" spans="1:11" x14ac:dyDescent="0.3">
      <c r="A187" s="5" t="s">
        <v>126</v>
      </c>
      <c r="B187" s="7">
        <v>44881</v>
      </c>
      <c r="C187" s="5" t="s">
        <v>11</v>
      </c>
      <c r="D187" s="5">
        <v>1164</v>
      </c>
      <c r="E187" s="5" t="s">
        <v>127</v>
      </c>
      <c r="F187" s="7">
        <v>44881</v>
      </c>
      <c r="G187" s="4">
        <v>248</v>
      </c>
      <c r="H187" s="5" t="s">
        <v>13</v>
      </c>
      <c r="I187" s="3">
        <v>9125</v>
      </c>
      <c r="J187" s="3">
        <v>9125</v>
      </c>
      <c r="K187">
        <f t="shared" si="2"/>
        <v>9125</v>
      </c>
    </row>
    <row r="188" spans="1:11" x14ac:dyDescent="0.3">
      <c r="A188" s="5" t="s">
        <v>126</v>
      </c>
      <c r="B188" s="7">
        <v>44926</v>
      </c>
      <c r="C188" s="5" t="s">
        <v>83</v>
      </c>
      <c r="D188" s="5" t="s">
        <v>128</v>
      </c>
      <c r="E188" s="5" t="s">
        <v>129</v>
      </c>
      <c r="F188" s="7">
        <v>44926</v>
      </c>
      <c r="G188" s="4">
        <v>203</v>
      </c>
      <c r="H188" s="5" t="s">
        <v>13</v>
      </c>
      <c r="I188" s="3">
        <v>77179.850000000006</v>
      </c>
      <c r="J188" s="3">
        <v>77179.850000000006</v>
      </c>
      <c r="K188">
        <f t="shared" si="2"/>
        <v>77179.850000000006</v>
      </c>
    </row>
    <row r="189" spans="1:11" x14ac:dyDescent="0.3">
      <c r="A189" s="5" t="s">
        <v>126</v>
      </c>
      <c r="B189" s="7">
        <v>44937</v>
      </c>
      <c r="C189" s="5" t="s">
        <v>11</v>
      </c>
      <c r="D189" s="5">
        <v>3151</v>
      </c>
      <c r="E189" s="5" t="s">
        <v>73</v>
      </c>
      <c r="F189" s="7">
        <v>44967</v>
      </c>
      <c r="G189" s="4">
        <v>162</v>
      </c>
      <c r="H189" s="5" t="s">
        <v>13</v>
      </c>
      <c r="I189" s="3">
        <v>925</v>
      </c>
      <c r="J189" s="3">
        <v>925</v>
      </c>
      <c r="K189">
        <f t="shared" si="2"/>
        <v>925</v>
      </c>
    </row>
    <row r="190" spans="1:11" x14ac:dyDescent="0.3">
      <c r="A190" s="5" t="s">
        <v>126</v>
      </c>
      <c r="B190" s="7">
        <v>45012</v>
      </c>
      <c r="C190" s="5" t="s">
        <v>11</v>
      </c>
      <c r="D190" s="5">
        <v>1040</v>
      </c>
      <c r="E190" s="5" t="s">
        <v>109</v>
      </c>
      <c r="F190" s="7">
        <v>45026</v>
      </c>
      <c r="G190" s="4">
        <v>103</v>
      </c>
      <c r="H190" s="5" t="s">
        <v>13</v>
      </c>
      <c r="I190" s="3">
        <v>7112.39</v>
      </c>
      <c r="J190" s="3">
        <v>7112.39</v>
      </c>
      <c r="K190">
        <f t="shared" si="2"/>
        <v>7112.39</v>
      </c>
    </row>
    <row r="191" spans="1:11" x14ac:dyDescent="0.3">
      <c r="A191" s="5" t="s">
        <v>126</v>
      </c>
      <c r="B191" s="7">
        <v>45030</v>
      </c>
      <c r="C191" s="5" t="s">
        <v>11</v>
      </c>
      <c r="D191" s="5" t="s">
        <v>110</v>
      </c>
      <c r="E191" s="5" t="s">
        <v>111</v>
      </c>
      <c r="F191" s="7">
        <v>45030</v>
      </c>
      <c r="G191" s="4">
        <v>99</v>
      </c>
      <c r="H191" s="5" t="s">
        <v>13</v>
      </c>
      <c r="I191" s="3">
        <v>1516</v>
      </c>
      <c r="J191" s="3">
        <v>1516</v>
      </c>
      <c r="K191">
        <f t="shared" si="2"/>
        <v>1516</v>
      </c>
    </row>
    <row r="192" spans="1:11" x14ac:dyDescent="0.3">
      <c r="A192" s="5" t="s">
        <v>126</v>
      </c>
      <c r="B192" s="7">
        <v>45007</v>
      </c>
      <c r="C192" s="5" t="s">
        <v>11</v>
      </c>
      <c r="D192" s="5" t="s">
        <v>130</v>
      </c>
      <c r="E192" s="5" t="s">
        <v>47</v>
      </c>
      <c r="F192" s="7">
        <v>45037</v>
      </c>
      <c r="G192" s="4">
        <v>92</v>
      </c>
      <c r="H192" s="5" t="s">
        <v>13</v>
      </c>
      <c r="I192" s="3">
        <v>200</v>
      </c>
      <c r="J192" s="3">
        <v>200</v>
      </c>
      <c r="K192">
        <f t="shared" si="2"/>
        <v>200</v>
      </c>
    </row>
    <row r="193" spans="1:11" x14ac:dyDescent="0.3">
      <c r="A193" s="5" t="s">
        <v>126</v>
      </c>
      <c r="B193" s="7">
        <v>45015</v>
      </c>
      <c r="C193" s="5" t="s">
        <v>11</v>
      </c>
      <c r="D193" s="5">
        <v>466</v>
      </c>
      <c r="E193" s="5" t="s">
        <v>131</v>
      </c>
      <c r="F193" s="7">
        <v>45046</v>
      </c>
      <c r="G193" s="4">
        <v>83</v>
      </c>
      <c r="H193" s="5" t="s">
        <v>29</v>
      </c>
      <c r="I193" s="3">
        <v>515291.08</v>
      </c>
      <c r="J193" s="3">
        <v>515291.08</v>
      </c>
      <c r="K193">
        <f t="shared" si="2"/>
        <v>0</v>
      </c>
    </row>
    <row r="194" spans="1:11" x14ac:dyDescent="0.3">
      <c r="A194" s="5" t="s">
        <v>126</v>
      </c>
      <c r="B194" s="7">
        <v>45046</v>
      </c>
      <c r="C194" s="5" t="s">
        <v>11</v>
      </c>
      <c r="D194" s="5" t="s">
        <v>132</v>
      </c>
      <c r="E194" s="5" t="s">
        <v>53</v>
      </c>
      <c r="F194" s="7">
        <v>45046</v>
      </c>
      <c r="G194" s="4">
        <v>83</v>
      </c>
      <c r="H194" s="5" t="s">
        <v>29</v>
      </c>
      <c r="I194" s="3">
        <v>92580.93</v>
      </c>
      <c r="J194" s="3">
        <v>92580.93</v>
      </c>
      <c r="K194">
        <f t="shared" si="2"/>
        <v>0</v>
      </c>
    </row>
    <row r="195" spans="1:11" x14ac:dyDescent="0.3">
      <c r="A195" s="5" t="s">
        <v>133</v>
      </c>
      <c r="B195" s="7">
        <v>44581</v>
      </c>
      <c r="C195" s="5" t="s">
        <v>11</v>
      </c>
      <c r="D195" s="5">
        <v>37543</v>
      </c>
      <c r="E195" s="5" t="s">
        <v>134</v>
      </c>
      <c r="F195" s="7">
        <v>44581</v>
      </c>
      <c r="G195" s="4">
        <v>548</v>
      </c>
      <c r="H195" s="5" t="s">
        <v>13</v>
      </c>
      <c r="I195" s="3">
        <v>11746.8</v>
      </c>
      <c r="J195" s="3">
        <v>11746.8</v>
      </c>
      <c r="K195">
        <f t="shared" si="2"/>
        <v>11746.8</v>
      </c>
    </row>
    <row r="196" spans="1:11" x14ac:dyDescent="0.3">
      <c r="A196" s="5" t="s">
        <v>133</v>
      </c>
      <c r="B196" s="7">
        <v>44722</v>
      </c>
      <c r="C196" s="5" t="s">
        <v>11</v>
      </c>
      <c r="D196" s="5" t="s">
        <v>135</v>
      </c>
      <c r="E196" s="5" t="s">
        <v>50</v>
      </c>
      <c r="F196" s="7">
        <v>44722</v>
      </c>
      <c r="G196" s="4">
        <v>407</v>
      </c>
      <c r="H196" s="5" t="s">
        <v>13</v>
      </c>
      <c r="I196" s="3">
        <v>350</v>
      </c>
      <c r="J196" s="3">
        <v>350</v>
      </c>
      <c r="K196">
        <f t="shared" ref="K196:K259" si="3">IF(H196="91+ days",J196,0)</f>
        <v>350</v>
      </c>
    </row>
    <row r="197" spans="1:11" x14ac:dyDescent="0.3">
      <c r="A197" s="5" t="s">
        <v>133</v>
      </c>
      <c r="B197" s="7">
        <v>44757</v>
      </c>
      <c r="C197" s="5" t="s">
        <v>11</v>
      </c>
      <c r="D197" s="5">
        <v>2987141</v>
      </c>
      <c r="E197" s="5" t="s">
        <v>136</v>
      </c>
      <c r="F197" s="7">
        <v>44757</v>
      </c>
      <c r="G197" s="4">
        <v>372</v>
      </c>
      <c r="H197" s="5" t="s">
        <v>13</v>
      </c>
      <c r="I197" s="3">
        <v>120</v>
      </c>
      <c r="J197" s="3">
        <v>120</v>
      </c>
      <c r="K197">
        <f t="shared" si="3"/>
        <v>120</v>
      </c>
    </row>
    <row r="198" spans="1:11" x14ac:dyDescent="0.3">
      <c r="A198" s="5" t="s">
        <v>133</v>
      </c>
      <c r="B198" s="7">
        <v>44757</v>
      </c>
      <c r="C198" s="5" t="s">
        <v>11</v>
      </c>
      <c r="D198" s="5">
        <v>2987142</v>
      </c>
      <c r="E198" s="5" t="s">
        <v>136</v>
      </c>
      <c r="F198" s="7">
        <v>44757</v>
      </c>
      <c r="G198" s="4">
        <v>372</v>
      </c>
      <c r="H198" s="5" t="s">
        <v>13</v>
      </c>
      <c r="I198" s="3">
        <v>120</v>
      </c>
      <c r="J198" s="3">
        <v>120</v>
      </c>
      <c r="K198">
        <f t="shared" si="3"/>
        <v>120</v>
      </c>
    </row>
    <row r="199" spans="1:11" x14ac:dyDescent="0.3">
      <c r="A199" s="5" t="s">
        <v>133</v>
      </c>
      <c r="B199" s="7">
        <v>44757</v>
      </c>
      <c r="C199" s="5" t="s">
        <v>11</v>
      </c>
      <c r="D199" s="5">
        <v>2987143</v>
      </c>
      <c r="E199" s="5" t="s">
        <v>136</v>
      </c>
      <c r="F199" s="7">
        <v>44757</v>
      </c>
      <c r="G199" s="4">
        <v>372</v>
      </c>
      <c r="H199" s="5" t="s">
        <v>13</v>
      </c>
      <c r="I199" s="3">
        <v>120</v>
      </c>
      <c r="J199" s="3">
        <v>120</v>
      </c>
      <c r="K199">
        <f t="shared" si="3"/>
        <v>120</v>
      </c>
    </row>
    <row r="200" spans="1:11" x14ac:dyDescent="0.3">
      <c r="A200" s="5" t="s">
        <v>133</v>
      </c>
      <c r="B200" s="7">
        <v>44757</v>
      </c>
      <c r="C200" s="5" t="s">
        <v>11</v>
      </c>
      <c r="D200" s="5">
        <v>2987144</v>
      </c>
      <c r="E200" s="5" t="s">
        <v>136</v>
      </c>
      <c r="F200" s="7">
        <v>44757</v>
      </c>
      <c r="G200" s="4">
        <v>372</v>
      </c>
      <c r="H200" s="5" t="s">
        <v>13</v>
      </c>
      <c r="I200" s="3">
        <v>120</v>
      </c>
      <c r="J200" s="3">
        <v>120</v>
      </c>
      <c r="K200">
        <f t="shared" si="3"/>
        <v>120</v>
      </c>
    </row>
    <row r="201" spans="1:11" x14ac:dyDescent="0.3">
      <c r="A201" s="5" t="s">
        <v>133</v>
      </c>
      <c r="B201" s="7">
        <v>44757</v>
      </c>
      <c r="C201" s="5" t="s">
        <v>11</v>
      </c>
      <c r="D201" s="5">
        <v>2987146</v>
      </c>
      <c r="E201" s="5" t="s">
        <v>136</v>
      </c>
      <c r="F201" s="7">
        <v>44757</v>
      </c>
      <c r="G201" s="4">
        <v>372</v>
      </c>
      <c r="H201" s="5" t="s">
        <v>13</v>
      </c>
      <c r="I201" s="3">
        <v>120</v>
      </c>
      <c r="J201" s="3">
        <v>120</v>
      </c>
      <c r="K201">
        <f t="shared" si="3"/>
        <v>120</v>
      </c>
    </row>
    <row r="202" spans="1:11" x14ac:dyDescent="0.3">
      <c r="A202" s="5" t="s">
        <v>133</v>
      </c>
      <c r="B202" s="7">
        <v>44757</v>
      </c>
      <c r="C202" s="5" t="s">
        <v>11</v>
      </c>
      <c r="D202" s="5">
        <v>2987147</v>
      </c>
      <c r="E202" s="5" t="s">
        <v>136</v>
      </c>
      <c r="F202" s="7">
        <v>44757</v>
      </c>
      <c r="G202" s="4">
        <v>372</v>
      </c>
      <c r="H202" s="5" t="s">
        <v>13</v>
      </c>
      <c r="I202" s="3">
        <v>120</v>
      </c>
      <c r="J202" s="3">
        <v>120</v>
      </c>
      <c r="K202">
        <f t="shared" si="3"/>
        <v>120</v>
      </c>
    </row>
    <row r="203" spans="1:11" x14ac:dyDescent="0.3">
      <c r="A203" s="5" t="s">
        <v>133</v>
      </c>
      <c r="B203" s="7">
        <v>44764</v>
      </c>
      <c r="C203" s="5" t="s">
        <v>11</v>
      </c>
      <c r="D203" s="5">
        <v>615962</v>
      </c>
      <c r="E203" s="5" t="s">
        <v>137</v>
      </c>
      <c r="F203" s="7">
        <v>44764</v>
      </c>
      <c r="G203" s="4">
        <v>365</v>
      </c>
      <c r="H203" s="5" t="s">
        <v>13</v>
      </c>
      <c r="I203" s="3">
        <v>1650</v>
      </c>
      <c r="J203" s="3">
        <v>1650</v>
      </c>
      <c r="K203">
        <f t="shared" si="3"/>
        <v>1650</v>
      </c>
    </row>
    <row r="204" spans="1:11" x14ac:dyDescent="0.3">
      <c r="A204" s="5" t="s">
        <v>133</v>
      </c>
      <c r="B204" s="7">
        <v>44764</v>
      </c>
      <c r="C204" s="5" t="s">
        <v>11</v>
      </c>
      <c r="D204" s="5">
        <v>615841</v>
      </c>
      <c r="E204" s="5" t="s">
        <v>137</v>
      </c>
      <c r="F204" s="7">
        <v>44764</v>
      </c>
      <c r="G204" s="4">
        <v>365</v>
      </c>
      <c r="H204" s="5" t="s">
        <v>13</v>
      </c>
      <c r="I204" s="3">
        <v>1200</v>
      </c>
      <c r="J204" s="3">
        <v>1200</v>
      </c>
      <c r="K204">
        <f t="shared" si="3"/>
        <v>1200</v>
      </c>
    </row>
    <row r="205" spans="1:11" x14ac:dyDescent="0.3">
      <c r="A205" s="5" t="s">
        <v>133</v>
      </c>
      <c r="B205" s="7">
        <v>44770</v>
      </c>
      <c r="C205" s="5" t="s">
        <v>11</v>
      </c>
      <c r="D205" s="5">
        <v>40641</v>
      </c>
      <c r="E205" s="5" t="s">
        <v>12</v>
      </c>
      <c r="F205" s="7">
        <v>44770</v>
      </c>
      <c r="G205" s="4">
        <v>359</v>
      </c>
      <c r="H205" s="5" t="s">
        <v>13</v>
      </c>
      <c r="I205" s="3">
        <v>300</v>
      </c>
      <c r="J205" s="3">
        <v>300</v>
      </c>
      <c r="K205">
        <f t="shared" si="3"/>
        <v>300</v>
      </c>
    </row>
    <row r="206" spans="1:11" x14ac:dyDescent="0.3">
      <c r="A206" s="5" t="s">
        <v>133</v>
      </c>
      <c r="B206" s="7">
        <v>44777</v>
      </c>
      <c r="C206" s="5" t="s">
        <v>11</v>
      </c>
      <c r="D206" s="5">
        <v>617250</v>
      </c>
      <c r="E206" s="5" t="s">
        <v>137</v>
      </c>
      <c r="F206" s="7">
        <v>44777</v>
      </c>
      <c r="G206" s="4">
        <v>352</v>
      </c>
      <c r="H206" s="5" t="s">
        <v>13</v>
      </c>
      <c r="I206" s="3">
        <v>1492.2</v>
      </c>
      <c r="J206" s="3">
        <v>1492.2</v>
      </c>
      <c r="K206">
        <f t="shared" si="3"/>
        <v>1492.2</v>
      </c>
    </row>
    <row r="207" spans="1:11" x14ac:dyDescent="0.3">
      <c r="A207" s="5" t="s">
        <v>133</v>
      </c>
      <c r="B207" s="7">
        <v>44777</v>
      </c>
      <c r="C207" s="5" t="s">
        <v>11</v>
      </c>
      <c r="D207" s="5">
        <v>617249</v>
      </c>
      <c r="E207" s="5" t="s">
        <v>137</v>
      </c>
      <c r="F207" s="7">
        <v>44777</v>
      </c>
      <c r="G207" s="4">
        <v>352</v>
      </c>
      <c r="H207" s="5" t="s">
        <v>13</v>
      </c>
      <c r="I207" s="3">
        <v>1236</v>
      </c>
      <c r="J207" s="3">
        <v>1236</v>
      </c>
      <c r="K207">
        <f t="shared" si="3"/>
        <v>1236</v>
      </c>
    </row>
    <row r="208" spans="1:11" x14ac:dyDescent="0.3">
      <c r="A208" s="5" t="s">
        <v>133</v>
      </c>
      <c r="B208" s="7">
        <v>44790</v>
      </c>
      <c r="C208" s="5" t="s">
        <v>11</v>
      </c>
      <c r="D208" s="5">
        <v>3016316</v>
      </c>
      <c r="E208" s="5" t="s">
        <v>136</v>
      </c>
      <c r="F208" s="7">
        <v>44790</v>
      </c>
      <c r="G208" s="4">
        <v>339</v>
      </c>
      <c r="H208" s="5" t="s">
        <v>13</v>
      </c>
      <c r="I208" s="3">
        <v>105</v>
      </c>
      <c r="J208" s="3">
        <v>105</v>
      </c>
      <c r="K208">
        <f t="shared" si="3"/>
        <v>105</v>
      </c>
    </row>
    <row r="209" spans="1:11" x14ac:dyDescent="0.3">
      <c r="A209" s="5" t="s">
        <v>133</v>
      </c>
      <c r="B209" s="7">
        <v>44790</v>
      </c>
      <c r="C209" s="5" t="s">
        <v>11</v>
      </c>
      <c r="D209" s="5">
        <v>3016320</v>
      </c>
      <c r="E209" s="5" t="s">
        <v>136</v>
      </c>
      <c r="F209" s="7">
        <v>44790</v>
      </c>
      <c r="G209" s="4">
        <v>339</v>
      </c>
      <c r="H209" s="5" t="s">
        <v>13</v>
      </c>
      <c r="I209" s="3">
        <v>105</v>
      </c>
      <c r="J209" s="3">
        <v>105</v>
      </c>
      <c r="K209">
        <f t="shared" si="3"/>
        <v>105</v>
      </c>
    </row>
    <row r="210" spans="1:11" x14ac:dyDescent="0.3">
      <c r="A210" s="5" t="s">
        <v>133</v>
      </c>
      <c r="B210" s="7">
        <v>44790</v>
      </c>
      <c r="C210" s="5" t="s">
        <v>11</v>
      </c>
      <c r="D210" s="5">
        <v>3016324</v>
      </c>
      <c r="E210" s="5" t="s">
        <v>136</v>
      </c>
      <c r="F210" s="7">
        <v>44790</v>
      </c>
      <c r="G210" s="4">
        <v>339</v>
      </c>
      <c r="H210" s="5" t="s">
        <v>13</v>
      </c>
      <c r="I210" s="3">
        <v>105</v>
      </c>
      <c r="J210" s="3">
        <v>105</v>
      </c>
      <c r="K210">
        <f t="shared" si="3"/>
        <v>105</v>
      </c>
    </row>
    <row r="211" spans="1:11" x14ac:dyDescent="0.3">
      <c r="A211" s="5" t="s">
        <v>133</v>
      </c>
      <c r="B211" s="7">
        <v>44790</v>
      </c>
      <c r="C211" s="5" t="s">
        <v>11</v>
      </c>
      <c r="D211" s="5">
        <v>3016326</v>
      </c>
      <c r="E211" s="5" t="s">
        <v>136</v>
      </c>
      <c r="F211" s="7">
        <v>44790</v>
      </c>
      <c r="G211" s="4">
        <v>339</v>
      </c>
      <c r="H211" s="5" t="s">
        <v>13</v>
      </c>
      <c r="I211" s="3">
        <v>105</v>
      </c>
      <c r="J211" s="3">
        <v>105</v>
      </c>
      <c r="K211">
        <f t="shared" si="3"/>
        <v>105</v>
      </c>
    </row>
    <row r="212" spans="1:11" x14ac:dyDescent="0.3">
      <c r="A212" s="5" t="s">
        <v>133</v>
      </c>
      <c r="B212" s="7">
        <v>44790</v>
      </c>
      <c r="C212" s="5" t="s">
        <v>11</v>
      </c>
      <c r="D212" s="5">
        <v>3016330</v>
      </c>
      <c r="E212" s="5" t="s">
        <v>136</v>
      </c>
      <c r="F212" s="7">
        <v>44790</v>
      </c>
      <c r="G212" s="4">
        <v>339</v>
      </c>
      <c r="H212" s="5" t="s">
        <v>13</v>
      </c>
      <c r="I212" s="3">
        <v>105</v>
      </c>
      <c r="J212" s="3">
        <v>105</v>
      </c>
      <c r="K212">
        <f t="shared" si="3"/>
        <v>105</v>
      </c>
    </row>
    <row r="213" spans="1:11" x14ac:dyDescent="0.3">
      <c r="A213" s="5" t="s">
        <v>133</v>
      </c>
      <c r="B213" s="7">
        <v>44782</v>
      </c>
      <c r="C213" s="5" t="s">
        <v>11</v>
      </c>
      <c r="D213" s="5">
        <v>6816</v>
      </c>
      <c r="E213" s="5" t="s">
        <v>138</v>
      </c>
      <c r="F213" s="7">
        <v>44798</v>
      </c>
      <c r="G213" s="4">
        <v>331</v>
      </c>
      <c r="H213" s="5" t="s">
        <v>13</v>
      </c>
      <c r="I213" s="3">
        <v>549</v>
      </c>
      <c r="J213" s="3">
        <v>549</v>
      </c>
      <c r="K213">
        <f t="shared" si="3"/>
        <v>549</v>
      </c>
    </row>
    <row r="214" spans="1:11" x14ac:dyDescent="0.3">
      <c r="A214" s="5" t="s">
        <v>133</v>
      </c>
      <c r="B214" s="7">
        <v>44802</v>
      </c>
      <c r="C214" s="5" t="s">
        <v>11</v>
      </c>
      <c r="D214" s="5">
        <v>41076</v>
      </c>
      <c r="E214" s="5" t="s">
        <v>12</v>
      </c>
      <c r="F214" s="7">
        <v>44802</v>
      </c>
      <c r="G214" s="4">
        <v>327</v>
      </c>
      <c r="H214" s="5" t="s">
        <v>13</v>
      </c>
      <c r="I214" s="3">
        <v>375</v>
      </c>
      <c r="J214" s="3">
        <v>375</v>
      </c>
      <c r="K214">
        <f t="shared" si="3"/>
        <v>375</v>
      </c>
    </row>
    <row r="215" spans="1:11" x14ac:dyDescent="0.3">
      <c r="A215" s="5" t="s">
        <v>133</v>
      </c>
      <c r="B215" s="7">
        <v>44799</v>
      </c>
      <c r="C215" s="5" t="s">
        <v>11</v>
      </c>
      <c r="D215" s="5">
        <v>85249</v>
      </c>
      <c r="E215" s="5" t="s">
        <v>52</v>
      </c>
      <c r="F215" s="7">
        <v>44810</v>
      </c>
      <c r="G215" s="4">
        <v>319</v>
      </c>
      <c r="H215" s="5" t="s">
        <v>13</v>
      </c>
      <c r="I215" s="3">
        <v>4222.47</v>
      </c>
      <c r="J215" s="3">
        <v>4222.47</v>
      </c>
      <c r="K215">
        <f t="shared" si="3"/>
        <v>4222.47</v>
      </c>
    </row>
    <row r="216" spans="1:11" x14ac:dyDescent="0.3">
      <c r="A216" s="5" t="s">
        <v>133</v>
      </c>
      <c r="B216" s="7">
        <v>44810</v>
      </c>
      <c r="C216" s="5" t="s">
        <v>11</v>
      </c>
      <c r="D216" s="5" t="s">
        <v>139</v>
      </c>
      <c r="E216" s="5" t="s">
        <v>140</v>
      </c>
      <c r="F216" s="7">
        <v>44810</v>
      </c>
      <c r="G216" s="4">
        <v>319</v>
      </c>
      <c r="H216" s="5" t="s">
        <v>13</v>
      </c>
      <c r="I216" s="3">
        <v>4178.88</v>
      </c>
      <c r="J216" s="3">
        <v>4178.88</v>
      </c>
      <c r="K216">
        <f t="shared" si="3"/>
        <v>4178.88</v>
      </c>
    </row>
    <row r="217" spans="1:11" x14ac:dyDescent="0.3">
      <c r="A217" s="5" t="s">
        <v>133</v>
      </c>
      <c r="B217" s="7">
        <v>44810</v>
      </c>
      <c r="C217" s="5" t="s">
        <v>11</v>
      </c>
      <c r="D217" s="5" t="s">
        <v>141</v>
      </c>
      <c r="E217" s="5" t="s">
        <v>140</v>
      </c>
      <c r="F217" s="7">
        <v>44810</v>
      </c>
      <c r="G217" s="4">
        <v>319</v>
      </c>
      <c r="H217" s="5" t="s">
        <v>13</v>
      </c>
      <c r="I217" s="3">
        <v>3688.5</v>
      </c>
      <c r="J217" s="3">
        <v>3688.5</v>
      </c>
      <c r="K217">
        <f t="shared" si="3"/>
        <v>3688.5</v>
      </c>
    </row>
    <row r="218" spans="1:11" x14ac:dyDescent="0.3">
      <c r="A218" s="5" t="s">
        <v>133</v>
      </c>
      <c r="B218" s="7">
        <v>44813</v>
      </c>
      <c r="C218" s="5" t="s">
        <v>11</v>
      </c>
      <c r="D218" s="5" t="s">
        <v>142</v>
      </c>
      <c r="E218" s="5" t="s">
        <v>140</v>
      </c>
      <c r="F218" s="7">
        <v>44813</v>
      </c>
      <c r="G218" s="4">
        <v>316</v>
      </c>
      <c r="H218" s="5" t="s">
        <v>13</v>
      </c>
      <c r="I218" s="3">
        <v>2568.12</v>
      </c>
      <c r="J218" s="3">
        <v>2568.12</v>
      </c>
      <c r="K218">
        <f t="shared" si="3"/>
        <v>2568.12</v>
      </c>
    </row>
    <row r="219" spans="1:11" x14ac:dyDescent="0.3">
      <c r="A219" s="5" t="s">
        <v>133</v>
      </c>
      <c r="B219" s="7">
        <v>44813</v>
      </c>
      <c r="C219" s="5" t="s">
        <v>11</v>
      </c>
      <c r="D219" s="5">
        <v>3042550</v>
      </c>
      <c r="E219" s="5" t="s">
        <v>136</v>
      </c>
      <c r="F219" s="7">
        <v>44813</v>
      </c>
      <c r="G219" s="4">
        <v>316</v>
      </c>
      <c r="H219" s="5" t="s">
        <v>13</v>
      </c>
      <c r="I219" s="3">
        <v>200</v>
      </c>
      <c r="J219" s="3">
        <v>200</v>
      </c>
      <c r="K219">
        <f t="shared" si="3"/>
        <v>200</v>
      </c>
    </row>
    <row r="220" spans="1:11" x14ac:dyDescent="0.3">
      <c r="A220" s="5" t="s">
        <v>133</v>
      </c>
      <c r="B220" s="7">
        <v>44813</v>
      </c>
      <c r="C220" s="5" t="s">
        <v>11</v>
      </c>
      <c r="D220" s="5">
        <v>3042548</v>
      </c>
      <c r="E220" s="5" t="s">
        <v>136</v>
      </c>
      <c r="F220" s="7">
        <v>44813</v>
      </c>
      <c r="G220" s="4">
        <v>316</v>
      </c>
      <c r="H220" s="5" t="s">
        <v>13</v>
      </c>
      <c r="I220" s="3">
        <v>200</v>
      </c>
      <c r="J220" s="3">
        <v>200</v>
      </c>
      <c r="K220">
        <f t="shared" si="3"/>
        <v>200</v>
      </c>
    </row>
    <row r="221" spans="1:11" x14ac:dyDescent="0.3">
      <c r="A221" s="5" t="s">
        <v>133</v>
      </c>
      <c r="B221" s="7">
        <v>44799</v>
      </c>
      <c r="C221" s="5" t="s">
        <v>11</v>
      </c>
      <c r="D221" s="5">
        <v>85250</v>
      </c>
      <c r="E221" s="5" t="s">
        <v>52</v>
      </c>
      <c r="F221" s="7">
        <v>44814</v>
      </c>
      <c r="G221" s="4">
        <v>315</v>
      </c>
      <c r="H221" s="5" t="s">
        <v>13</v>
      </c>
      <c r="I221" s="3">
        <v>4260.34</v>
      </c>
      <c r="J221" s="3">
        <v>4260.34</v>
      </c>
      <c r="K221">
        <f t="shared" si="3"/>
        <v>4260.34</v>
      </c>
    </row>
    <row r="222" spans="1:11" x14ac:dyDescent="0.3">
      <c r="A222" s="5" t="s">
        <v>133</v>
      </c>
      <c r="B222" s="7">
        <v>44799</v>
      </c>
      <c r="C222" s="5" t="s">
        <v>11</v>
      </c>
      <c r="D222" s="5">
        <v>85248</v>
      </c>
      <c r="E222" s="5" t="s">
        <v>52</v>
      </c>
      <c r="F222" s="7">
        <v>44814</v>
      </c>
      <c r="G222" s="4">
        <v>315</v>
      </c>
      <c r="H222" s="5" t="s">
        <v>13</v>
      </c>
      <c r="I222" s="3">
        <v>4222.47</v>
      </c>
      <c r="J222" s="3">
        <v>4222.47</v>
      </c>
      <c r="K222">
        <f t="shared" si="3"/>
        <v>4222.47</v>
      </c>
    </row>
    <row r="223" spans="1:11" x14ac:dyDescent="0.3">
      <c r="A223" s="5" t="s">
        <v>133</v>
      </c>
      <c r="B223" s="7">
        <v>44816</v>
      </c>
      <c r="C223" s="5" t="s">
        <v>11</v>
      </c>
      <c r="D223" s="5" t="s">
        <v>143</v>
      </c>
      <c r="E223" s="5" t="s">
        <v>140</v>
      </c>
      <c r="F223" s="7">
        <v>44816</v>
      </c>
      <c r="G223" s="4">
        <v>313</v>
      </c>
      <c r="H223" s="5" t="s">
        <v>13</v>
      </c>
      <c r="I223" s="3">
        <v>2137.8200000000002</v>
      </c>
      <c r="J223" s="3">
        <v>2137.8200000000002</v>
      </c>
      <c r="K223">
        <f t="shared" si="3"/>
        <v>2137.8200000000002</v>
      </c>
    </row>
    <row r="224" spans="1:11" x14ac:dyDescent="0.3">
      <c r="A224" s="5" t="s">
        <v>133</v>
      </c>
      <c r="B224" s="7">
        <v>44817</v>
      </c>
      <c r="C224" s="5" t="s">
        <v>11</v>
      </c>
      <c r="D224" s="5">
        <v>6926</v>
      </c>
      <c r="E224" s="5" t="s">
        <v>138</v>
      </c>
      <c r="F224" s="7">
        <v>44817</v>
      </c>
      <c r="G224" s="4">
        <v>312</v>
      </c>
      <c r="H224" s="5" t="s">
        <v>13</v>
      </c>
      <c r="I224" s="3">
        <v>240</v>
      </c>
      <c r="J224" s="3">
        <v>240</v>
      </c>
      <c r="K224">
        <f t="shared" si="3"/>
        <v>240</v>
      </c>
    </row>
    <row r="225" spans="1:11" x14ac:dyDescent="0.3">
      <c r="A225" s="5" t="s">
        <v>133</v>
      </c>
      <c r="B225" s="7">
        <v>44818</v>
      </c>
      <c r="C225" s="5" t="s">
        <v>11</v>
      </c>
      <c r="D225" s="5" t="s">
        <v>144</v>
      </c>
      <c r="E225" s="5" t="s">
        <v>50</v>
      </c>
      <c r="F225" s="7">
        <v>44818</v>
      </c>
      <c r="G225" s="4">
        <v>311</v>
      </c>
      <c r="H225" s="5" t="s">
        <v>13</v>
      </c>
      <c r="I225" s="3">
        <v>4221.75</v>
      </c>
      <c r="J225" s="3">
        <v>4221.75</v>
      </c>
      <c r="K225">
        <f t="shared" si="3"/>
        <v>4221.75</v>
      </c>
    </row>
    <row r="226" spans="1:11" x14ac:dyDescent="0.3">
      <c r="A226" s="5" t="s">
        <v>133</v>
      </c>
      <c r="B226" s="7">
        <v>44817</v>
      </c>
      <c r="C226" s="5" t="s">
        <v>11</v>
      </c>
      <c r="D226" s="5">
        <v>6925</v>
      </c>
      <c r="E226" s="5" t="s">
        <v>138</v>
      </c>
      <c r="F226" s="7">
        <v>44827</v>
      </c>
      <c r="G226" s="4">
        <v>302</v>
      </c>
      <c r="H226" s="5" t="s">
        <v>13</v>
      </c>
      <c r="I226" s="3">
        <v>240</v>
      </c>
      <c r="J226" s="3">
        <v>240</v>
      </c>
      <c r="K226">
        <f t="shared" si="3"/>
        <v>240</v>
      </c>
    </row>
    <row r="227" spans="1:11" x14ac:dyDescent="0.3">
      <c r="A227" s="5" t="s">
        <v>133</v>
      </c>
      <c r="B227" s="7">
        <v>44817</v>
      </c>
      <c r="C227" s="5" t="s">
        <v>11</v>
      </c>
      <c r="D227" s="5">
        <v>6924</v>
      </c>
      <c r="E227" s="5" t="s">
        <v>138</v>
      </c>
      <c r="F227" s="7">
        <v>44827</v>
      </c>
      <c r="G227" s="4">
        <v>302</v>
      </c>
      <c r="H227" s="5" t="s">
        <v>13</v>
      </c>
      <c r="I227" s="3">
        <v>240</v>
      </c>
      <c r="J227" s="3">
        <v>240</v>
      </c>
      <c r="K227">
        <f t="shared" si="3"/>
        <v>240</v>
      </c>
    </row>
    <row r="228" spans="1:11" x14ac:dyDescent="0.3">
      <c r="A228" s="5" t="s">
        <v>133</v>
      </c>
      <c r="B228" s="7">
        <v>44817</v>
      </c>
      <c r="C228" s="5" t="s">
        <v>11</v>
      </c>
      <c r="D228" s="5">
        <v>6923</v>
      </c>
      <c r="E228" s="5" t="s">
        <v>138</v>
      </c>
      <c r="F228" s="7">
        <v>44827</v>
      </c>
      <c r="G228" s="4">
        <v>302</v>
      </c>
      <c r="H228" s="5" t="s">
        <v>13</v>
      </c>
      <c r="I228" s="3">
        <v>240</v>
      </c>
      <c r="J228" s="3">
        <v>240</v>
      </c>
      <c r="K228">
        <f t="shared" si="3"/>
        <v>240</v>
      </c>
    </row>
    <row r="229" spans="1:11" x14ac:dyDescent="0.3">
      <c r="A229" s="5" t="s">
        <v>133</v>
      </c>
      <c r="B229" s="7">
        <v>44817</v>
      </c>
      <c r="C229" s="5" t="s">
        <v>11</v>
      </c>
      <c r="D229" s="5">
        <v>6922</v>
      </c>
      <c r="E229" s="5" t="s">
        <v>138</v>
      </c>
      <c r="F229" s="7">
        <v>44827</v>
      </c>
      <c r="G229" s="4">
        <v>302</v>
      </c>
      <c r="H229" s="5" t="s">
        <v>13</v>
      </c>
      <c r="I229" s="3">
        <v>240</v>
      </c>
      <c r="J229" s="3">
        <v>240</v>
      </c>
      <c r="K229">
        <f t="shared" si="3"/>
        <v>240</v>
      </c>
    </row>
    <row r="230" spans="1:11" x14ac:dyDescent="0.3">
      <c r="A230" s="5" t="s">
        <v>133</v>
      </c>
      <c r="B230" s="7">
        <v>44827</v>
      </c>
      <c r="C230" s="5" t="s">
        <v>11</v>
      </c>
      <c r="D230" s="5">
        <v>6946</v>
      </c>
      <c r="E230" s="5" t="s">
        <v>138</v>
      </c>
      <c r="F230" s="7">
        <v>44827</v>
      </c>
      <c r="G230" s="4">
        <v>302</v>
      </c>
      <c r="H230" s="5" t="s">
        <v>13</v>
      </c>
      <c r="I230" s="3">
        <v>240</v>
      </c>
      <c r="J230" s="3">
        <v>240</v>
      </c>
      <c r="K230">
        <f t="shared" si="3"/>
        <v>240</v>
      </c>
    </row>
    <row r="231" spans="1:11" x14ac:dyDescent="0.3">
      <c r="A231" s="5" t="s">
        <v>133</v>
      </c>
      <c r="B231" s="7">
        <v>44827</v>
      </c>
      <c r="C231" s="5" t="s">
        <v>11</v>
      </c>
      <c r="D231" s="5">
        <v>6945</v>
      </c>
      <c r="E231" s="5" t="s">
        <v>138</v>
      </c>
      <c r="F231" s="7">
        <v>44827</v>
      </c>
      <c r="G231" s="4">
        <v>302</v>
      </c>
      <c r="H231" s="5" t="s">
        <v>13</v>
      </c>
      <c r="I231" s="3">
        <v>240</v>
      </c>
      <c r="J231" s="3">
        <v>240</v>
      </c>
      <c r="K231">
        <f t="shared" si="3"/>
        <v>240</v>
      </c>
    </row>
    <row r="232" spans="1:11" x14ac:dyDescent="0.3">
      <c r="A232" s="5" t="s">
        <v>133</v>
      </c>
      <c r="B232" s="7">
        <v>44827</v>
      </c>
      <c r="C232" s="5" t="s">
        <v>11</v>
      </c>
      <c r="D232" s="5">
        <v>6944</v>
      </c>
      <c r="E232" s="5" t="s">
        <v>138</v>
      </c>
      <c r="F232" s="7">
        <v>44827</v>
      </c>
      <c r="G232" s="4">
        <v>302</v>
      </c>
      <c r="H232" s="5" t="s">
        <v>13</v>
      </c>
      <c r="I232" s="3">
        <v>240</v>
      </c>
      <c r="J232" s="3">
        <v>240</v>
      </c>
      <c r="K232">
        <f t="shared" si="3"/>
        <v>240</v>
      </c>
    </row>
    <row r="233" spans="1:11" x14ac:dyDescent="0.3">
      <c r="A233" s="5" t="s">
        <v>133</v>
      </c>
      <c r="B233" s="7">
        <v>44827</v>
      </c>
      <c r="C233" s="5" t="s">
        <v>11</v>
      </c>
      <c r="D233" s="5">
        <v>6943</v>
      </c>
      <c r="E233" s="5" t="s">
        <v>138</v>
      </c>
      <c r="F233" s="7">
        <v>44827</v>
      </c>
      <c r="G233" s="4">
        <v>302</v>
      </c>
      <c r="H233" s="5" t="s">
        <v>13</v>
      </c>
      <c r="I233" s="3">
        <v>240</v>
      </c>
      <c r="J233" s="3">
        <v>240</v>
      </c>
      <c r="K233">
        <f t="shared" si="3"/>
        <v>240</v>
      </c>
    </row>
    <row r="234" spans="1:11" x14ac:dyDescent="0.3">
      <c r="A234" s="5" t="s">
        <v>133</v>
      </c>
      <c r="B234" s="7">
        <v>44827</v>
      </c>
      <c r="C234" s="5" t="s">
        <v>11</v>
      </c>
      <c r="D234" s="5">
        <v>6948</v>
      </c>
      <c r="E234" s="5" t="s">
        <v>138</v>
      </c>
      <c r="F234" s="7">
        <v>44830</v>
      </c>
      <c r="G234" s="4">
        <v>299</v>
      </c>
      <c r="H234" s="5" t="s">
        <v>13</v>
      </c>
      <c r="I234" s="3">
        <v>240</v>
      </c>
      <c r="J234" s="3">
        <v>240</v>
      </c>
      <c r="K234">
        <f t="shared" si="3"/>
        <v>240</v>
      </c>
    </row>
    <row r="235" spans="1:11" x14ac:dyDescent="0.3">
      <c r="A235" s="5" t="s">
        <v>133</v>
      </c>
      <c r="B235" s="7">
        <v>44834</v>
      </c>
      <c r="C235" s="5" t="s">
        <v>11</v>
      </c>
      <c r="D235" s="5" t="s">
        <v>145</v>
      </c>
      <c r="E235" s="5" t="s">
        <v>50</v>
      </c>
      <c r="F235" s="7">
        <v>44834</v>
      </c>
      <c r="G235" s="4">
        <v>295</v>
      </c>
      <c r="H235" s="5" t="s">
        <v>13</v>
      </c>
      <c r="I235" s="3">
        <v>350</v>
      </c>
      <c r="J235" s="3">
        <v>350</v>
      </c>
      <c r="K235">
        <f t="shared" si="3"/>
        <v>350</v>
      </c>
    </row>
    <row r="236" spans="1:11" x14ac:dyDescent="0.3">
      <c r="A236" s="5" t="s">
        <v>133</v>
      </c>
      <c r="B236" s="7">
        <v>44840</v>
      </c>
      <c r="C236" s="5" t="s">
        <v>11</v>
      </c>
      <c r="D236" s="5">
        <v>661174</v>
      </c>
      <c r="E236" s="5" t="s">
        <v>146</v>
      </c>
      <c r="F236" s="7">
        <v>44840</v>
      </c>
      <c r="G236" s="4">
        <v>289</v>
      </c>
      <c r="H236" s="5" t="s">
        <v>13</v>
      </c>
      <c r="I236" s="3">
        <v>5680</v>
      </c>
      <c r="J236" s="3">
        <v>5680</v>
      </c>
      <c r="K236">
        <f t="shared" si="3"/>
        <v>5680</v>
      </c>
    </row>
    <row r="237" spans="1:11" x14ac:dyDescent="0.3">
      <c r="A237" s="5" t="s">
        <v>133</v>
      </c>
      <c r="B237" s="7">
        <v>44840</v>
      </c>
      <c r="C237" s="5" t="s">
        <v>11</v>
      </c>
      <c r="D237" s="5">
        <v>661176</v>
      </c>
      <c r="E237" s="5" t="s">
        <v>146</v>
      </c>
      <c r="F237" s="7">
        <v>44840</v>
      </c>
      <c r="G237" s="4">
        <v>289</v>
      </c>
      <c r="H237" s="5" t="s">
        <v>13</v>
      </c>
      <c r="I237" s="3">
        <v>5680</v>
      </c>
      <c r="J237" s="3">
        <v>5680</v>
      </c>
      <c r="K237">
        <f t="shared" si="3"/>
        <v>5680</v>
      </c>
    </row>
    <row r="238" spans="1:11" x14ac:dyDescent="0.3">
      <c r="A238" s="5" t="s">
        <v>133</v>
      </c>
      <c r="B238" s="7">
        <v>44840</v>
      </c>
      <c r="C238" s="5" t="s">
        <v>11</v>
      </c>
      <c r="D238" s="5">
        <v>661175</v>
      </c>
      <c r="E238" s="5" t="s">
        <v>146</v>
      </c>
      <c r="F238" s="7">
        <v>44840</v>
      </c>
      <c r="G238" s="4">
        <v>289</v>
      </c>
      <c r="H238" s="5" t="s">
        <v>13</v>
      </c>
      <c r="I238" s="3">
        <v>350</v>
      </c>
      <c r="J238" s="3">
        <v>350</v>
      </c>
      <c r="K238">
        <f t="shared" si="3"/>
        <v>350</v>
      </c>
    </row>
    <row r="239" spans="1:11" x14ac:dyDescent="0.3">
      <c r="A239" s="5" t="s">
        <v>133</v>
      </c>
      <c r="B239" s="7">
        <v>44840</v>
      </c>
      <c r="C239" s="5" t="s">
        <v>11</v>
      </c>
      <c r="D239" s="5">
        <v>661177</v>
      </c>
      <c r="E239" s="5" t="s">
        <v>146</v>
      </c>
      <c r="F239" s="7">
        <v>44840</v>
      </c>
      <c r="G239" s="4">
        <v>289</v>
      </c>
      <c r="H239" s="5" t="s">
        <v>13</v>
      </c>
      <c r="I239" s="3">
        <v>350</v>
      </c>
      <c r="J239" s="3">
        <v>350</v>
      </c>
      <c r="K239">
        <f t="shared" si="3"/>
        <v>350</v>
      </c>
    </row>
    <row r="240" spans="1:11" x14ac:dyDescent="0.3">
      <c r="A240" s="5" t="s">
        <v>133</v>
      </c>
      <c r="B240" s="7">
        <v>44840</v>
      </c>
      <c r="C240" s="5" t="s">
        <v>11</v>
      </c>
      <c r="D240" s="5">
        <v>661178</v>
      </c>
      <c r="E240" s="5" t="s">
        <v>146</v>
      </c>
      <c r="F240" s="7">
        <v>44840</v>
      </c>
      <c r="G240" s="4">
        <v>289</v>
      </c>
      <c r="H240" s="5" t="s">
        <v>13</v>
      </c>
      <c r="I240" s="3">
        <v>70</v>
      </c>
      <c r="J240" s="3">
        <v>70</v>
      </c>
      <c r="K240">
        <f t="shared" si="3"/>
        <v>70</v>
      </c>
    </row>
    <row r="241" spans="1:11" x14ac:dyDescent="0.3">
      <c r="A241" s="5" t="s">
        <v>133</v>
      </c>
      <c r="B241" s="7">
        <v>44840</v>
      </c>
      <c r="C241" s="5" t="s">
        <v>11</v>
      </c>
      <c r="D241" s="5">
        <v>661179</v>
      </c>
      <c r="E241" s="5" t="s">
        <v>146</v>
      </c>
      <c r="F241" s="7">
        <v>44840</v>
      </c>
      <c r="G241" s="4">
        <v>289</v>
      </c>
      <c r="H241" s="5" t="s">
        <v>13</v>
      </c>
      <c r="I241" s="3">
        <v>70</v>
      </c>
      <c r="J241" s="3">
        <v>70</v>
      </c>
      <c r="K241">
        <f t="shared" si="3"/>
        <v>70</v>
      </c>
    </row>
    <row r="242" spans="1:11" x14ac:dyDescent="0.3">
      <c r="A242" s="5" t="s">
        <v>133</v>
      </c>
      <c r="B242" s="7">
        <v>44840</v>
      </c>
      <c r="C242" s="5" t="s">
        <v>11</v>
      </c>
      <c r="D242" s="5">
        <v>661180</v>
      </c>
      <c r="E242" s="5" t="s">
        <v>146</v>
      </c>
      <c r="F242" s="7">
        <v>44840</v>
      </c>
      <c r="G242" s="4">
        <v>289</v>
      </c>
      <c r="H242" s="5" t="s">
        <v>13</v>
      </c>
      <c r="I242" s="3">
        <v>70</v>
      </c>
      <c r="J242" s="3">
        <v>70</v>
      </c>
      <c r="K242">
        <f t="shared" si="3"/>
        <v>70</v>
      </c>
    </row>
    <row r="243" spans="1:11" x14ac:dyDescent="0.3">
      <c r="A243" s="5" t="s">
        <v>133</v>
      </c>
      <c r="B243" s="7">
        <v>44840</v>
      </c>
      <c r="C243" s="5" t="s">
        <v>11</v>
      </c>
      <c r="D243" s="5">
        <v>661181</v>
      </c>
      <c r="E243" s="5" t="s">
        <v>146</v>
      </c>
      <c r="F243" s="7">
        <v>44840</v>
      </c>
      <c r="G243" s="4">
        <v>289</v>
      </c>
      <c r="H243" s="5" t="s">
        <v>13</v>
      </c>
      <c r="I243" s="3">
        <v>70</v>
      </c>
      <c r="J243" s="3">
        <v>70</v>
      </c>
      <c r="K243">
        <f t="shared" si="3"/>
        <v>70</v>
      </c>
    </row>
    <row r="244" spans="1:11" x14ac:dyDescent="0.3">
      <c r="A244" s="5" t="s">
        <v>133</v>
      </c>
      <c r="B244" s="7">
        <v>44840</v>
      </c>
      <c r="C244" s="5" t="s">
        <v>11</v>
      </c>
      <c r="D244" s="5">
        <v>661182</v>
      </c>
      <c r="E244" s="5" t="s">
        <v>146</v>
      </c>
      <c r="F244" s="7">
        <v>44840</v>
      </c>
      <c r="G244" s="4">
        <v>289</v>
      </c>
      <c r="H244" s="5" t="s">
        <v>13</v>
      </c>
      <c r="I244" s="3">
        <v>70</v>
      </c>
      <c r="J244" s="3">
        <v>70</v>
      </c>
      <c r="K244">
        <f t="shared" si="3"/>
        <v>70</v>
      </c>
    </row>
    <row r="245" spans="1:11" x14ac:dyDescent="0.3">
      <c r="A245" s="5" t="s">
        <v>133</v>
      </c>
      <c r="B245" s="7">
        <v>44810</v>
      </c>
      <c r="C245" s="5" t="s">
        <v>11</v>
      </c>
      <c r="D245" s="5" t="s">
        <v>147</v>
      </c>
      <c r="E245" s="5" t="s">
        <v>140</v>
      </c>
      <c r="F245" s="7">
        <v>44844</v>
      </c>
      <c r="G245" s="4">
        <v>285</v>
      </c>
      <c r="H245" s="5" t="s">
        <v>13</v>
      </c>
      <c r="I245" s="3">
        <v>3698.79</v>
      </c>
      <c r="J245" s="3">
        <v>3698.79</v>
      </c>
      <c r="K245">
        <f t="shared" si="3"/>
        <v>3698.79</v>
      </c>
    </row>
    <row r="246" spans="1:11" x14ac:dyDescent="0.3">
      <c r="A246" s="5" t="s">
        <v>133</v>
      </c>
      <c r="B246" s="7">
        <v>44819</v>
      </c>
      <c r="C246" s="5" t="s">
        <v>11</v>
      </c>
      <c r="D246" s="5" t="s">
        <v>148</v>
      </c>
      <c r="E246" s="5" t="s">
        <v>140</v>
      </c>
      <c r="F246" s="7">
        <v>44844</v>
      </c>
      <c r="G246" s="4">
        <v>285</v>
      </c>
      <c r="H246" s="5" t="s">
        <v>13</v>
      </c>
      <c r="I246" s="3">
        <v>306.35000000000002</v>
      </c>
      <c r="J246" s="3">
        <v>306.35000000000002</v>
      </c>
      <c r="K246">
        <f t="shared" si="3"/>
        <v>306.35000000000002</v>
      </c>
    </row>
    <row r="247" spans="1:11" x14ac:dyDescent="0.3">
      <c r="A247" s="5" t="s">
        <v>133</v>
      </c>
      <c r="B247" s="7">
        <v>44845</v>
      </c>
      <c r="C247" s="5" t="s">
        <v>11</v>
      </c>
      <c r="D247" s="5">
        <v>661968</v>
      </c>
      <c r="E247" s="5" t="s">
        <v>146</v>
      </c>
      <c r="F247" s="7">
        <v>44845</v>
      </c>
      <c r="G247" s="4">
        <v>284</v>
      </c>
      <c r="H247" s="5" t="s">
        <v>13</v>
      </c>
      <c r="I247" s="3">
        <v>4270</v>
      </c>
      <c r="J247" s="3">
        <v>4270</v>
      </c>
      <c r="K247">
        <f t="shared" si="3"/>
        <v>4270</v>
      </c>
    </row>
    <row r="248" spans="1:11" x14ac:dyDescent="0.3">
      <c r="A248" s="5" t="s">
        <v>133</v>
      </c>
      <c r="B248" s="7">
        <v>44845</v>
      </c>
      <c r="C248" s="5" t="s">
        <v>11</v>
      </c>
      <c r="D248" s="5">
        <v>661969</v>
      </c>
      <c r="E248" s="5" t="s">
        <v>146</v>
      </c>
      <c r="F248" s="7">
        <v>44845</v>
      </c>
      <c r="G248" s="4">
        <v>284</v>
      </c>
      <c r="H248" s="5" t="s">
        <v>13</v>
      </c>
      <c r="I248" s="3">
        <v>4270</v>
      </c>
      <c r="J248" s="3">
        <v>4270</v>
      </c>
      <c r="K248">
        <f t="shared" si="3"/>
        <v>4270</v>
      </c>
    </row>
    <row r="249" spans="1:11" x14ac:dyDescent="0.3">
      <c r="A249" s="5" t="s">
        <v>133</v>
      </c>
      <c r="B249" s="7">
        <v>44852</v>
      </c>
      <c r="C249" s="5" t="s">
        <v>11</v>
      </c>
      <c r="D249" s="5">
        <v>36746549</v>
      </c>
      <c r="E249" s="5" t="s">
        <v>149</v>
      </c>
      <c r="F249" s="7">
        <v>44852</v>
      </c>
      <c r="G249" s="4">
        <v>277</v>
      </c>
      <c r="H249" s="5" t="s">
        <v>13</v>
      </c>
      <c r="I249" s="3">
        <v>3467.25</v>
      </c>
      <c r="J249" s="3">
        <v>3467.25</v>
      </c>
      <c r="K249">
        <f t="shared" si="3"/>
        <v>3467.25</v>
      </c>
    </row>
    <row r="250" spans="1:11" x14ac:dyDescent="0.3">
      <c r="A250" s="5" t="s">
        <v>133</v>
      </c>
      <c r="B250" s="7">
        <v>44852</v>
      </c>
      <c r="C250" s="5" t="s">
        <v>11</v>
      </c>
      <c r="D250" s="5">
        <v>624549</v>
      </c>
      <c r="E250" s="5" t="s">
        <v>137</v>
      </c>
      <c r="F250" s="7">
        <v>44852</v>
      </c>
      <c r="G250" s="4">
        <v>277</v>
      </c>
      <c r="H250" s="5" t="s">
        <v>13</v>
      </c>
      <c r="I250" s="3">
        <v>750</v>
      </c>
      <c r="J250" s="3">
        <v>750</v>
      </c>
      <c r="K250">
        <f t="shared" si="3"/>
        <v>750</v>
      </c>
    </row>
    <row r="251" spans="1:11" x14ac:dyDescent="0.3">
      <c r="A251" s="5" t="s">
        <v>133</v>
      </c>
      <c r="B251" s="7">
        <v>44854</v>
      </c>
      <c r="C251" s="5" t="s">
        <v>11</v>
      </c>
      <c r="D251" s="5">
        <v>105887</v>
      </c>
      <c r="E251" s="5" t="s">
        <v>68</v>
      </c>
      <c r="F251" s="7">
        <v>44854</v>
      </c>
      <c r="G251" s="4">
        <v>275</v>
      </c>
      <c r="H251" s="5" t="s">
        <v>13</v>
      </c>
      <c r="I251" s="3">
        <v>300</v>
      </c>
      <c r="J251" s="3">
        <v>300</v>
      </c>
      <c r="K251">
        <f t="shared" si="3"/>
        <v>300</v>
      </c>
    </row>
    <row r="252" spans="1:11" x14ac:dyDescent="0.3">
      <c r="A252" s="5" t="s">
        <v>133</v>
      </c>
      <c r="B252" s="7">
        <v>44854</v>
      </c>
      <c r="C252" s="5" t="s">
        <v>11</v>
      </c>
      <c r="D252" s="5">
        <v>105888</v>
      </c>
      <c r="E252" s="5" t="s">
        <v>68</v>
      </c>
      <c r="F252" s="7">
        <v>44854</v>
      </c>
      <c r="G252" s="4">
        <v>275</v>
      </c>
      <c r="H252" s="5" t="s">
        <v>13</v>
      </c>
      <c r="I252" s="3">
        <v>300</v>
      </c>
      <c r="J252" s="3">
        <v>300</v>
      </c>
      <c r="K252">
        <f t="shared" si="3"/>
        <v>300</v>
      </c>
    </row>
    <row r="253" spans="1:11" x14ac:dyDescent="0.3">
      <c r="A253" s="5" t="s">
        <v>133</v>
      </c>
      <c r="B253" s="7">
        <v>44854</v>
      </c>
      <c r="C253" s="5" t="s">
        <v>11</v>
      </c>
      <c r="D253" s="5">
        <v>105889</v>
      </c>
      <c r="E253" s="5" t="s">
        <v>68</v>
      </c>
      <c r="F253" s="7">
        <v>44854</v>
      </c>
      <c r="G253" s="4">
        <v>275</v>
      </c>
      <c r="H253" s="5" t="s">
        <v>13</v>
      </c>
      <c r="I253" s="3">
        <v>300</v>
      </c>
      <c r="J253" s="3">
        <v>300</v>
      </c>
      <c r="K253">
        <f t="shared" si="3"/>
        <v>300</v>
      </c>
    </row>
    <row r="254" spans="1:11" x14ac:dyDescent="0.3">
      <c r="A254" s="5" t="s">
        <v>133</v>
      </c>
      <c r="B254" s="7">
        <v>44854</v>
      </c>
      <c r="C254" s="5" t="s">
        <v>11</v>
      </c>
      <c r="D254" s="5">
        <v>105890</v>
      </c>
      <c r="E254" s="5" t="s">
        <v>68</v>
      </c>
      <c r="F254" s="7">
        <v>44854</v>
      </c>
      <c r="G254" s="4">
        <v>275</v>
      </c>
      <c r="H254" s="5" t="s">
        <v>13</v>
      </c>
      <c r="I254" s="3">
        <v>300</v>
      </c>
      <c r="J254" s="3">
        <v>300</v>
      </c>
      <c r="K254">
        <f t="shared" si="3"/>
        <v>300</v>
      </c>
    </row>
    <row r="255" spans="1:11" x14ac:dyDescent="0.3">
      <c r="A255" s="5" t="s">
        <v>133</v>
      </c>
      <c r="B255" s="7">
        <v>44854</v>
      </c>
      <c r="C255" s="5" t="s">
        <v>11</v>
      </c>
      <c r="D255" s="5">
        <v>105891</v>
      </c>
      <c r="E255" s="5" t="s">
        <v>68</v>
      </c>
      <c r="F255" s="7">
        <v>44854</v>
      </c>
      <c r="G255" s="4">
        <v>275</v>
      </c>
      <c r="H255" s="5" t="s">
        <v>13</v>
      </c>
      <c r="I255" s="3">
        <v>300</v>
      </c>
      <c r="J255" s="3">
        <v>300</v>
      </c>
      <c r="K255">
        <f t="shared" si="3"/>
        <v>300</v>
      </c>
    </row>
    <row r="256" spans="1:11" x14ac:dyDescent="0.3">
      <c r="A256" s="5" t="s">
        <v>133</v>
      </c>
      <c r="B256" s="7">
        <v>44855</v>
      </c>
      <c r="C256" s="5" t="s">
        <v>11</v>
      </c>
      <c r="D256" s="5">
        <v>36748384</v>
      </c>
      <c r="E256" s="5" t="s">
        <v>149</v>
      </c>
      <c r="F256" s="7">
        <v>44855</v>
      </c>
      <c r="G256" s="4">
        <v>274</v>
      </c>
      <c r="H256" s="5" t="s">
        <v>13</v>
      </c>
      <c r="I256" s="3">
        <v>2286.75</v>
      </c>
      <c r="J256" s="3">
        <v>2286.75</v>
      </c>
      <c r="K256">
        <f t="shared" si="3"/>
        <v>2286.75</v>
      </c>
    </row>
    <row r="257" spans="1:11" x14ac:dyDescent="0.3">
      <c r="A257" s="5" t="s">
        <v>133</v>
      </c>
      <c r="B257" s="7">
        <v>44855</v>
      </c>
      <c r="C257" s="5" t="s">
        <v>11</v>
      </c>
      <c r="D257" s="5">
        <v>36748385</v>
      </c>
      <c r="E257" s="5" t="s">
        <v>149</v>
      </c>
      <c r="F257" s="7">
        <v>44855</v>
      </c>
      <c r="G257" s="4">
        <v>274</v>
      </c>
      <c r="H257" s="5" t="s">
        <v>13</v>
      </c>
      <c r="I257" s="3">
        <v>1977.3</v>
      </c>
      <c r="J257" s="3">
        <v>1977.3</v>
      </c>
      <c r="K257">
        <f t="shared" si="3"/>
        <v>1977.3</v>
      </c>
    </row>
    <row r="258" spans="1:11" x14ac:dyDescent="0.3">
      <c r="A258" s="5" t="s">
        <v>133</v>
      </c>
      <c r="B258" s="7">
        <v>44858</v>
      </c>
      <c r="C258" s="5" t="s">
        <v>11</v>
      </c>
      <c r="D258" s="5">
        <v>36748967</v>
      </c>
      <c r="E258" s="5" t="s">
        <v>149</v>
      </c>
      <c r="F258" s="7">
        <v>44858</v>
      </c>
      <c r="G258" s="4">
        <v>271</v>
      </c>
      <c r="H258" s="5" t="s">
        <v>13</v>
      </c>
      <c r="I258" s="3">
        <v>10280</v>
      </c>
      <c r="J258" s="3">
        <v>10280</v>
      </c>
      <c r="K258">
        <f t="shared" si="3"/>
        <v>10280</v>
      </c>
    </row>
    <row r="259" spans="1:11" x14ac:dyDescent="0.3">
      <c r="A259" s="5" t="s">
        <v>133</v>
      </c>
      <c r="B259" s="7">
        <v>44862</v>
      </c>
      <c r="C259" s="5" t="s">
        <v>11</v>
      </c>
      <c r="D259" s="5">
        <v>59131</v>
      </c>
      <c r="E259" s="5" t="s">
        <v>75</v>
      </c>
      <c r="F259" s="7">
        <v>44862</v>
      </c>
      <c r="G259" s="4">
        <v>267</v>
      </c>
      <c r="H259" s="5" t="s">
        <v>13</v>
      </c>
      <c r="I259" s="3">
        <v>182.88</v>
      </c>
      <c r="J259" s="3">
        <v>182.88</v>
      </c>
      <c r="K259">
        <f t="shared" si="3"/>
        <v>182.88</v>
      </c>
    </row>
    <row r="260" spans="1:11" x14ac:dyDescent="0.3">
      <c r="A260" s="5" t="s">
        <v>133</v>
      </c>
      <c r="B260" s="7">
        <v>44863</v>
      </c>
      <c r="C260" s="5" t="s">
        <v>11</v>
      </c>
      <c r="D260" s="5">
        <v>41930</v>
      </c>
      <c r="E260" s="5" t="s">
        <v>12</v>
      </c>
      <c r="F260" s="7">
        <v>44863</v>
      </c>
      <c r="G260" s="4">
        <v>266</v>
      </c>
      <c r="H260" s="5" t="s">
        <v>13</v>
      </c>
      <c r="I260" s="3">
        <v>375</v>
      </c>
      <c r="J260" s="3">
        <v>375</v>
      </c>
      <c r="K260">
        <f t="shared" ref="K260:K323" si="4">IF(H260="91+ days",J260,0)</f>
        <v>375</v>
      </c>
    </row>
    <row r="261" spans="1:11" x14ac:dyDescent="0.3">
      <c r="A261" s="5" t="s">
        <v>133</v>
      </c>
      <c r="B261" s="7">
        <v>44863</v>
      </c>
      <c r="C261" s="5" t="s">
        <v>11</v>
      </c>
      <c r="D261" s="5">
        <v>43085</v>
      </c>
      <c r="E261" s="5" t="s">
        <v>12</v>
      </c>
      <c r="F261" s="7">
        <v>44863</v>
      </c>
      <c r="G261" s="4">
        <v>266</v>
      </c>
      <c r="H261" s="5" t="s">
        <v>13</v>
      </c>
      <c r="I261" s="3">
        <v>300</v>
      </c>
      <c r="J261" s="3">
        <v>300</v>
      </c>
      <c r="K261">
        <f t="shared" si="4"/>
        <v>300</v>
      </c>
    </row>
    <row r="262" spans="1:11" x14ac:dyDescent="0.3">
      <c r="A262" s="5" t="s">
        <v>133</v>
      </c>
      <c r="B262" s="7">
        <v>44865</v>
      </c>
      <c r="C262" s="5" t="s">
        <v>11</v>
      </c>
      <c r="D262" s="5">
        <v>106831</v>
      </c>
      <c r="E262" s="5" t="s">
        <v>68</v>
      </c>
      <c r="F262" s="7">
        <v>44865</v>
      </c>
      <c r="G262" s="4">
        <v>264</v>
      </c>
      <c r="H262" s="5" t="s">
        <v>13</v>
      </c>
      <c r="I262" s="3">
        <v>5793.6</v>
      </c>
      <c r="J262" s="3">
        <v>5793.6</v>
      </c>
      <c r="K262">
        <f t="shared" si="4"/>
        <v>5793.6</v>
      </c>
    </row>
    <row r="263" spans="1:11" x14ac:dyDescent="0.3">
      <c r="A263" s="5" t="s">
        <v>133</v>
      </c>
      <c r="B263" s="7">
        <v>44865</v>
      </c>
      <c r="C263" s="5" t="s">
        <v>11</v>
      </c>
      <c r="D263" s="5">
        <v>667484</v>
      </c>
      <c r="E263" s="5" t="s">
        <v>146</v>
      </c>
      <c r="F263" s="7">
        <v>44865</v>
      </c>
      <c r="G263" s="4">
        <v>264</v>
      </c>
      <c r="H263" s="5" t="s">
        <v>13</v>
      </c>
      <c r="I263" s="3">
        <v>3660</v>
      </c>
      <c r="J263" s="3">
        <v>3660</v>
      </c>
      <c r="K263">
        <f t="shared" si="4"/>
        <v>3660</v>
      </c>
    </row>
    <row r="264" spans="1:11" x14ac:dyDescent="0.3">
      <c r="A264" s="5" t="s">
        <v>133</v>
      </c>
      <c r="B264" s="7">
        <v>44865</v>
      </c>
      <c r="C264" s="5" t="s">
        <v>11</v>
      </c>
      <c r="D264" s="5">
        <v>36754264</v>
      </c>
      <c r="E264" s="5" t="s">
        <v>149</v>
      </c>
      <c r="F264" s="7">
        <v>44865</v>
      </c>
      <c r="G264" s="4">
        <v>264</v>
      </c>
      <c r="H264" s="5" t="s">
        <v>13</v>
      </c>
      <c r="I264" s="3">
        <v>893</v>
      </c>
      <c r="J264" s="3">
        <v>893</v>
      </c>
      <c r="K264">
        <f t="shared" si="4"/>
        <v>893</v>
      </c>
    </row>
    <row r="265" spans="1:11" x14ac:dyDescent="0.3">
      <c r="A265" s="5" t="s">
        <v>133</v>
      </c>
      <c r="B265" s="7">
        <v>44865</v>
      </c>
      <c r="C265" s="5" t="s">
        <v>11</v>
      </c>
      <c r="D265" s="5">
        <v>667471</v>
      </c>
      <c r="E265" s="5" t="s">
        <v>146</v>
      </c>
      <c r="F265" s="7">
        <v>44865</v>
      </c>
      <c r="G265" s="4">
        <v>264</v>
      </c>
      <c r="H265" s="5" t="s">
        <v>13</v>
      </c>
      <c r="I265" s="3">
        <v>325</v>
      </c>
      <c r="J265" s="3">
        <v>325</v>
      </c>
      <c r="K265">
        <f t="shared" si="4"/>
        <v>325</v>
      </c>
    </row>
    <row r="266" spans="1:11" x14ac:dyDescent="0.3">
      <c r="A266" s="5" t="s">
        <v>133</v>
      </c>
      <c r="B266" s="7">
        <v>44865</v>
      </c>
      <c r="C266" s="5" t="s">
        <v>11</v>
      </c>
      <c r="D266" s="5">
        <v>667473</v>
      </c>
      <c r="E266" s="5" t="s">
        <v>146</v>
      </c>
      <c r="F266" s="7">
        <v>44865</v>
      </c>
      <c r="G266" s="4">
        <v>264</v>
      </c>
      <c r="H266" s="5" t="s">
        <v>13</v>
      </c>
      <c r="I266" s="3">
        <v>325</v>
      </c>
      <c r="J266" s="3">
        <v>325</v>
      </c>
      <c r="K266">
        <f t="shared" si="4"/>
        <v>325</v>
      </c>
    </row>
    <row r="267" spans="1:11" x14ac:dyDescent="0.3">
      <c r="A267" s="5" t="s">
        <v>133</v>
      </c>
      <c r="B267" s="7">
        <v>44867</v>
      </c>
      <c r="C267" s="5" t="s">
        <v>11</v>
      </c>
      <c r="D267" s="5">
        <v>3003</v>
      </c>
      <c r="E267" s="5" t="s">
        <v>73</v>
      </c>
      <c r="F267" s="7">
        <v>44867</v>
      </c>
      <c r="G267" s="4">
        <v>262</v>
      </c>
      <c r="H267" s="5" t="s">
        <v>13</v>
      </c>
      <c r="I267" s="3">
        <v>930.5</v>
      </c>
      <c r="J267" s="3">
        <v>930.5</v>
      </c>
      <c r="K267">
        <f t="shared" si="4"/>
        <v>930.5</v>
      </c>
    </row>
    <row r="268" spans="1:11" x14ac:dyDescent="0.3">
      <c r="A268" s="5" t="s">
        <v>133</v>
      </c>
      <c r="B268" s="7">
        <v>44869</v>
      </c>
      <c r="C268" s="5" t="s">
        <v>11</v>
      </c>
      <c r="D268" s="5">
        <v>106833</v>
      </c>
      <c r="E268" s="5" t="s">
        <v>68</v>
      </c>
      <c r="F268" s="7">
        <v>44869</v>
      </c>
      <c r="G268" s="4">
        <v>260</v>
      </c>
      <c r="H268" s="5" t="s">
        <v>13</v>
      </c>
      <c r="I268" s="3">
        <v>5793.6</v>
      </c>
      <c r="J268" s="3">
        <v>5793.6</v>
      </c>
      <c r="K268">
        <f t="shared" si="4"/>
        <v>5793.6</v>
      </c>
    </row>
    <row r="269" spans="1:11" x14ac:dyDescent="0.3">
      <c r="A269" s="5" t="s">
        <v>133</v>
      </c>
      <c r="B269" s="7">
        <v>44869</v>
      </c>
      <c r="C269" s="5" t="s">
        <v>11</v>
      </c>
      <c r="D269" s="5">
        <v>106835</v>
      </c>
      <c r="E269" s="5" t="s">
        <v>68</v>
      </c>
      <c r="F269" s="7">
        <v>44869</v>
      </c>
      <c r="G269" s="4">
        <v>260</v>
      </c>
      <c r="H269" s="5" t="s">
        <v>13</v>
      </c>
      <c r="I269" s="3">
        <v>5793.6</v>
      </c>
      <c r="J269" s="3">
        <v>5793.6</v>
      </c>
      <c r="K269">
        <f t="shared" si="4"/>
        <v>5793.6</v>
      </c>
    </row>
    <row r="270" spans="1:11" x14ac:dyDescent="0.3">
      <c r="A270" s="5" t="s">
        <v>133</v>
      </c>
      <c r="B270" s="7">
        <v>44869</v>
      </c>
      <c r="C270" s="5" t="s">
        <v>11</v>
      </c>
      <c r="D270" s="5">
        <v>106849</v>
      </c>
      <c r="E270" s="5" t="s">
        <v>68</v>
      </c>
      <c r="F270" s="7">
        <v>44869</v>
      </c>
      <c r="G270" s="4">
        <v>260</v>
      </c>
      <c r="H270" s="5" t="s">
        <v>13</v>
      </c>
      <c r="I270" s="3">
        <v>5793.6</v>
      </c>
      <c r="J270" s="3">
        <v>5793.6</v>
      </c>
      <c r="K270">
        <f t="shared" si="4"/>
        <v>5793.6</v>
      </c>
    </row>
    <row r="271" spans="1:11" x14ac:dyDescent="0.3">
      <c r="A271" s="5" t="s">
        <v>133</v>
      </c>
      <c r="B271" s="7">
        <v>44869</v>
      </c>
      <c r="C271" s="5" t="s">
        <v>11</v>
      </c>
      <c r="D271" s="5">
        <v>106837</v>
      </c>
      <c r="E271" s="5" t="s">
        <v>68</v>
      </c>
      <c r="F271" s="7">
        <v>44869</v>
      </c>
      <c r="G271" s="4">
        <v>260</v>
      </c>
      <c r="H271" s="5" t="s">
        <v>13</v>
      </c>
      <c r="I271" s="3">
        <v>5793.6</v>
      </c>
      <c r="J271" s="3">
        <v>5793.6</v>
      </c>
      <c r="K271">
        <f t="shared" si="4"/>
        <v>5793.6</v>
      </c>
    </row>
    <row r="272" spans="1:11" x14ac:dyDescent="0.3">
      <c r="A272" s="5" t="s">
        <v>133</v>
      </c>
      <c r="B272" s="7">
        <v>44869</v>
      </c>
      <c r="C272" s="5" t="s">
        <v>11</v>
      </c>
      <c r="D272" s="5">
        <v>667470</v>
      </c>
      <c r="E272" s="5" t="s">
        <v>146</v>
      </c>
      <c r="F272" s="7">
        <v>44869</v>
      </c>
      <c r="G272" s="4">
        <v>260</v>
      </c>
      <c r="H272" s="5" t="s">
        <v>13</v>
      </c>
      <c r="I272" s="3">
        <v>325</v>
      </c>
      <c r="J272" s="3">
        <v>325</v>
      </c>
      <c r="K272">
        <f t="shared" si="4"/>
        <v>325</v>
      </c>
    </row>
    <row r="273" spans="1:11" x14ac:dyDescent="0.3">
      <c r="A273" s="5" t="s">
        <v>133</v>
      </c>
      <c r="B273" s="7">
        <v>44869</v>
      </c>
      <c r="C273" s="5" t="s">
        <v>11</v>
      </c>
      <c r="D273" s="5">
        <v>106851</v>
      </c>
      <c r="E273" s="5" t="s">
        <v>68</v>
      </c>
      <c r="F273" s="7">
        <v>44869</v>
      </c>
      <c r="G273" s="4">
        <v>260</v>
      </c>
      <c r="H273" s="5" t="s">
        <v>13</v>
      </c>
      <c r="I273" s="3">
        <v>111.6</v>
      </c>
      <c r="J273" s="3">
        <v>111.6</v>
      </c>
      <c r="K273">
        <f t="shared" si="4"/>
        <v>111.6</v>
      </c>
    </row>
    <row r="274" spans="1:11" x14ac:dyDescent="0.3">
      <c r="A274" s="5" t="s">
        <v>133</v>
      </c>
      <c r="B274" s="7">
        <v>44869</v>
      </c>
      <c r="C274" s="5" t="s">
        <v>11</v>
      </c>
      <c r="D274" s="5">
        <v>106832</v>
      </c>
      <c r="E274" s="5" t="s">
        <v>68</v>
      </c>
      <c r="F274" s="7">
        <v>44869</v>
      </c>
      <c r="G274" s="4">
        <v>260</v>
      </c>
      <c r="H274" s="5" t="s">
        <v>13</v>
      </c>
      <c r="I274" s="3">
        <v>84</v>
      </c>
      <c r="J274" s="3">
        <v>84</v>
      </c>
      <c r="K274">
        <f t="shared" si="4"/>
        <v>84</v>
      </c>
    </row>
    <row r="275" spans="1:11" x14ac:dyDescent="0.3">
      <c r="A275" s="5" t="s">
        <v>133</v>
      </c>
      <c r="B275" s="7">
        <v>44869</v>
      </c>
      <c r="C275" s="5" t="s">
        <v>11</v>
      </c>
      <c r="D275" s="5">
        <v>106834</v>
      </c>
      <c r="E275" s="5" t="s">
        <v>68</v>
      </c>
      <c r="F275" s="7">
        <v>44869</v>
      </c>
      <c r="G275" s="4">
        <v>260</v>
      </c>
      <c r="H275" s="5" t="s">
        <v>13</v>
      </c>
      <c r="I275" s="3">
        <v>84</v>
      </c>
      <c r="J275" s="3">
        <v>84</v>
      </c>
      <c r="K275">
        <f t="shared" si="4"/>
        <v>84</v>
      </c>
    </row>
    <row r="276" spans="1:11" x14ac:dyDescent="0.3">
      <c r="A276" s="5" t="s">
        <v>133</v>
      </c>
      <c r="B276" s="7">
        <v>44869</v>
      </c>
      <c r="C276" s="5" t="s">
        <v>11</v>
      </c>
      <c r="D276" s="5">
        <v>106836</v>
      </c>
      <c r="E276" s="5" t="s">
        <v>68</v>
      </c>
      <c r="F276" s="7">
        <v>44869</v>
      </c>
      <c r="G276" s="4">
        <v>260</v>
      </c>
      <c r="H276" s="5" t="s">
        <v>13</v>
      </c>
      <c r="I276" s="3">
        <v>84</v>
      </c>
      <c r="J276" s="3">
        <v>84</v>
      </c>
      <c r="K276">
        <f t="shared" si="4"/>
        <v>84</v>
      </c>
    </row>
    <row r="277" spans="1:11" x14ac:dyDescent="0.3">
      <c r="A277" s="5" t="s">
        <v>133</v>
      </c>
      <c r="B277" s="7">
        <v>44869</v>
      </c>
      <c r="C277" s="5" t="s">
        <v>11</v>
      </c>
      <c r="D277" s="5">
        <v>106838</v>
      </c>
      <c r="E277" s="5" t="s">
        <v>68</v>
      </c>
      <c r="F277" s="7">
        <v>44869</v>
      </c>
      <c r="G277" s="4">
        <v>260</v>
      </c>
      <c r="H277" s="5" t="s">
        <v>13</v>
      </c>
      <c r="I277" s="3">
        <v>84</v>
      </c>
      <c r="J277" s="3">
        <v>84</v>
      </c>
      <c r="K277">
        <f t="shared" si="4"/>
        <v>84</v>
      </c>
    </row>
    <row r="278" spans="1:11" x14ac:dyDescent="0.3">
      <c r="A278" s="5" t="s">
        <v>133</v>
      </c>
      <c r="B278" s="7">
        <v>44869</v>
      </c>
      <c r="C278" s="5" t="s">
        <v>11</v>
      </c>
      <c r="D278" s="5">
        <v>106850</v>
      </c>
      <c r="E278" s="5" t="s">
        <v>68</v>
      </c>
      <c r="F278" s="7">
        <v>44869</v>
      </c>
      <c r="G278" s="4">
        <v>260</v>
      </c>
      <c r="H278" s="5" t="s">
        <v>13</v>
      </c>
      <c r="I278" s="3">
        <v>84</v>
      </c>
      <c r="J278" s="3">
        <v>84</v>
      </c>
      <c r="K278">
        <f t="shared" si="4"/>
        <v>84</v>
      </c>
    </row>
    <row r="279" spans="1:11" x14ac:dyDescent="0.3">
      <c r="A279" s="5" t="s">
        <v>133</v>
      </c>
      <c r="B279" s="7">
        <v>44873</v>
      </c>
      <c r="C279" s="5" t="s">
        <v>11</v>
      </c>
      <c r="D279" s="5">
        <v>106956</v>
      </c>
      <c r="E279" s="5" t="s">
        <v>68</v>
      </c>
      <c r="F279" s="7">
        <v>44873</v>
      </c>
      <c r="G279" s="4">
        <v>256</v>
      </c>
      <c r="H279" s="5" t="s">
        <v>13</v>
      </c>
      <c r="I279" s="3">
        <v>5905.2</v>
      </c>
      <c r="J279" s="3">
        <v>5905.2</v>
      </c>
      <c r="K279">
        <f t="shared" si="4"/>
        <v>5905.2</v>
      </c>
    </row>
    <row r="280" spans="1:11" x14ac:dyDescent="0.3">
      <c r="A280" s="5" t="s">
        <v>133</v>
      </c>
      <c r="B280" s="7">
        <v>44873</v>
      </c>
      <c r="C280" s="5" t="s">
        <v>11</v>
      </c>
      <c r="D280" s="5">
        <v>106957</v>
      </c>
      <c r="E280" s="5" t="s">
        <v>68</v>
      </c>
      <c r="F280" s="7">
        <v>44873</v>
      </c>
      <c r="G280" s="4">
        <v>256</v>
      </c>
      <c r="H280" s="5" t="s">
        <v>13</v>
      </c>
      <c r="I280" s="3">
        <v>84</v>
      </c>
      <c r="J280" s="3">
        <v>84</v>
      </c>
      <c r="K280">
        <f t="shared" si="4"/>
        <v>84</v>
      </c>
    </row>
    <row r="281" spans="1:11" x14ac:dyDescent="0.3">
      <c r="A281" s="5" t="s">
        <v>133</v>
      </c>
      <c r="B281" s="7">
        <v>44859</v>
      </c>
      <c r="C281" s="5" t="s">
        <v>11</v>
      </c>
      <c r="D281" s="5" t="s">
        <v>150</v>
      </c>
      <c r="E281" s="5" t="s">
        <v>151</v>
      </c>
      <c r="F281" s="7">
        <v>44874</v>
      </c>
      <c r="G281" s="4">
        <v>255</v>
      </c>
      <c r="H281" s="5" t="s">
        <v>13</v>
      </c>
      <c r="I281" s="3">
        <v>265</v>
      </c>
      <c r="J281" s="3">
        <v>265</v>
      </c>
      <c r="K281">
        <f t="shared" si="4"/>
        <v>265</v>
      </c>
    </row>
    <row r="282" spans="1:11" x14ac:dyDescent="0.3">
      <c r="A282" s="5" t="s">
        <v>133</v>
      </c>
      <c r="B282" s="7">
        <v>44874</v>
      </c>
      <c r="C282" s="5" t="s">
        <v>11</v>
      </c>
      <c r="D282" s="5">
        <v>36758569</v>
      </c>
      <c r="E282" s="5" t="s">
        <v>149</v>
      </c>
      <c r="F282" s="7">
        <v>44874</v>
      </c>
      <c r="G282" s="4">
        <v>255</v>
      </c>
      <c r="H282" s="5" t="s">
        <v>13</v>
      </c>
      <c r="I282" s="3">
        <v>2089</v>
      </c>
      <c r="J282" s="3">
        <v>2089</v>
      </c>
      <c r="K282">
        <f t="shared" si="4"/>
        <v>2089</v>
      </c>
    </row>
    <row r="283" spans="1:11" x14ac:dyDescent="0.3">
      <c r="A283" s="5" t="s">
        <v>133</v>
      </c>
      <c r="B283" s="7">
        <v>44874</v>
      </c>
      <c r="C283" s="5" t="s">
        <v>11</v>
      </c>
      <c r="D283" s="5">
        <v>36758567</v>
      </c>
      <c r="E283" s="5" t="s">
        <v>149</v>
      </c>
      <c r="F283" s="7">
        <v>44874</v>
      </c>
      <c r="G283" s="4">
        <v>255</v>
      </c>
      <c r="H283" s="5" t="s">
        <v>13</v>
      </c>
      <c r="I283" s="3">
        <v>2013.25</v>
      </c>
      <c r="J283" s="3">
        <v>2013.25</v>
      </c>
      <c r="K283">
        <f t="shared" si="4"/>
        <v>2013.25</v>
      </c>
    </row>
    <row r="284" spans="1:11" x14ac:dyDescent="0.3">
      <c r="A284" s="5" t="s">
        <v>133</v>
      </c>
      <c r="B284" s="7">
        <v>44874</v>
      </c>
      <c r="C284" s="5" t="s">
        <v>11</v>
      </c>
      <c r="D284" s="5">
        <v>36758568</v>
      </c>
      <c r="E284" s="5" t="s">
        <v>149</v>
      </c>
      <c r="F284" s="7">
        <v>44874</v>
      </c>
      <c r="G284" s="4">
        <v>255</v>
      </c>
      <c r="H284" s="5" t="s">
        <v>13</v>
      </c>
      <c r="I284" s="3">
        <v>1977.3</v>
      </c>
      <c r="J284" s="3">
        <v>1977.3</v>
      </c>
      <c r="K284">
        <f t="shared" si="4"/>
        <v>1977.3</v>
      </c>
    </row>
    <row r="285" spans="1:11" x14ac:dyDescent="0.3">
      <c r="A285" s="5" t="s">
        <v>133</v>
      </c>
      <c r="B285" s="7">
        <v>44874</v>
      </c>
      <c r="C285" s="5" t="s">
        <v>11</v>
      </c>
      <c r="D285" s="5">
        <v>36758570</v>
      </c>
      <c r="E285" s="5" t="s">
        <v>149</v>
      </c>
      <c r="F285" s="7">
        <v>44874</v>
      </c>
      <c r="G285" s="4">
        <v>255</v>
      </c>
      <c r="H285" s="5" t="s">
        <v>13</v>
      </c>
      <c r="I285" s="3">
        <v>1350.05</v>
      </c>
      <c r="J285" s="3">
        <v>1350.05</v>
      </c>
      <c r="K285">
        <f t="shared" si="4"/>
        <v>1350.05</v>
      </c>
    </row>
    <row r="286" spans="1:11" x14ac:dyDescent="0.3">
      <c r="A286" s="5" t="s">
        <v>133</v>
      </c>
      <c r="B286" s="7">
        <v>44874</v>
      </c>
      <c r="C286" s="5" t="s">
        <v>11</v>
      </c>
      <c r="D286" s="5" t="s">
        <v>152</v>
      </c>
      <c r="E286" s="5" t="s">
        <v>50</v>
      </c>
      <c r="F286" s="7">
        <v>44874</v>
      </c>
      <c r="G286" s="4">
        <v>255</v>
      </c>
      <c r="H286" s="5" t="s">
        <v>13</v>
      </c>
      <c r="I286" s="3">
        <v>500</v>
      </c>
      <c r="J286" s="3">
        <v>500</v>
      </c>
      <c r="K286">
        <f t="shared" si="4"/>
        <v>500</v>
      </c>
    </row>
    <row r="287" spans="1:11" x14ac:dyDescent="0.3">
      <c r="A287" s="5" t="s">
        <v>133</v>
      </c>
      <c r="B287" s="7">
        <v>44845</v>
      </c>
      <c r="C287" s="5" t="s">
        <v>11</v>
      </c>
      <c r="D287" s="5">
        <v>91135</v>
      </c>
      <c r="E287" s="5" t="s">
        <v>52</v>
      </c>
      <c r="F287" s="7">
        <v>44875</v>
      </c>
      <c r="G287" s="4">
        <v>254</v>
      </c>
      <c r="H287" s="5" t="s">
        <v>13</v>
      </c>
      <c r="I287" s="3">
        <v>147.44</v>
      </c>
      <c r="J287" s="3">
        <v>147.44</v>
      </c>
      <c r="K287">
        <f t="shared" si="4"/>
        <v>147.44</v>
      </c>
    </row>
    <row r="288" spans="1:11" x14ac:dyDescent="0.3">
      <c r="A288" s="5" t="s">
        <v>133</v>
      </c>
      <c r="B288" s="7">
        <v>44845</v>
      </c>
      <c r="C288" s="5" t="s">
        <v>11</v>
      </c>
      <c r="D288" s="5">
        <v>91136</v>
      </c>
      <c r="E288" s="5" t="s">
        <v>52</v>
      </c>
      <c r="F288" s="7">
        <v>44875</v>
      </c>
      <c r="G288" s="4">
        <v>254</v>
      </c>
      <c r="H288" s="5" t="s">
        <v>13</v>
      </c>
      <c r="I288" s="3">
        <v>147.44</v>
      </c>
      <c r="J288" s="3">
        <v>147.44</v>
      </c>
      <c r="K288">
        <f t="shared" si="4"/>
        <v>147.44</v>
      </c>
    </row>
    <row r="289" spans="1:11" x14ac:dyDescent="0.3">
      <c r="A289" s="5" t="s">
        <v>133</v>
      </c>
      <c r="B289" s="7">
        <v>44845</v>
      </c>
      <c r="C289" s="5" t="s">
        <v>11</v>
      </c>
      <c r="D289" s="5">
        <v>91138</v>
      </c>
      <c r="E289" s="5" t="s">
        <v>52</v>
      </c>
      <c r="F289" s="7">
        <v>44875</v>
      </c>
      <c r="G289" s="4">
        <v>254</v>
      </c>
      <c r="H289" s="5" t="s">
        <v>13</v>
      </c>
      <c r="I289" s="3">
        <v>147.44</v>
      </c>
      <c r="J289" s="3">
        <v>147.44</v>
      </c>
      <c r="K289">
        <f t="shared" si="4"/>
        <v>147.44</v>
      </c>
    </row>
    <row r="290" spans="1:11" x14ac:dyDescent="0.3">
      <c r="A290" s="5" t="s">
        <v>133</v>
      </c>
      <c r="B290" s="7">
        <v>44875</v>
      </c>
      <c r="C290" s="5" t="s">
        <v>11</v>
      </c>
      <c r="D290" s="5" t="s">
        <v>153</v>
      </c>
      <c r="E290" s="5" t="s">
        <v>154</v>
      </c>
      <c r="F290" s="7">
        <v>44875</v>
      </c>
      <c r="G290" s="4">
        <v>254</v>
      </c>
      <c r="H290" s="5" t="s">
        <v>13</v>
      </c>
      <c r="I290" s="3">
        <v>10923.61</v>
      </c>
      <c r="J290" s="3">
        <v>10923.61</v>
      </c>
      <c r="K290">
        <f t="shared" si="4"/>
        <v>10923.61</v>
      </c>
    </row>
    <row r="291" spans="1:11" x14ac:dyDescent="0.3">
      <c r="A291" s="5" t="s">
        <v>133</v>
      </c>
      <c r="B291" s="7">
        <v>44877</v>
      </c>
      <c r="C291" s="5" t="s">
        <v>11</v>
      </c>
      <c r="D291" s="5">
        <v>36759552</v>
      </c>
      <c r="E291" s="5" t="s">
        <v>149</v>
      </c>
      <c r="F291" s="7">
        <v>44877</v>
      </c>
      <c r="G291" s="4">
        <v>252</v>
      </c>
      <c r="H291" s="5" t="s">
        <v>13</v>
      </c>
      <c r="I291" s="3">
        <v>1959.3</v>
      </c>
      <c r="J291" s="3">
        <v>1959.3</v>
      </c>
      <c r="K291">
        <f t="shared" si="4"/>
        <v>1959.3</v>
      </c>
    </row>
    <row r="292" spans="1:11" x14ac:dyDescent="0.3">
      <c r="A292" s="5" t="s">
        <v>133</v>
      </c>
      <c r="B292" s="7">
        <v>44880</v>
      </c>
      <c r="C292" s="5" t="s">
        <v>11</v>
      </c>
      <c r="D292" s="5">
        <v>3103716</v>
      </c>
      <c r="E292" s="5" t="s">
        <v>136</v>
      </c>
      <c r="F292" s="7">
        <v>44880</v>
      </c>
      <c r="G292" s="4">
        <v>249</v>
      </c>
      <c r="H292" s="5" t="s">
        <v>13</v>
      </c>
      <c r="I292" s="3">
        <v>6550</v>
      </c>
      <c r="J292" s="3">
        <v>6550</v>
      </c>
      <c r="K292">
        <f t="shared" si="4"/>
        <v>6550</v>
      </c>
    </row>
    <row r="293" spans="1:11" x14ac:dyDescent="0.3">
      <c r="A293" s="5" t="s">
        <v>133</v>
      </c>
      <c r="B293" s="7">
        <v>44880</v>
      </c>
      <c r="C293" s="5" t="s">
        <v>11</v>
      </c>
      <c r="D293" s="5">
        <v>670862</v>
      </c>
      <c r="E293" s="5" t="s">
        <v>146</v>
      </c>
      <c r="F293" s="7">
        <v>44880</v>
      </c>
      <c r="G293" s="4">
        <v>249</v>
      </c>
      <c r="H293" s="5" t="s">
        <v>13</v>
      </c>
      <c r="I293" s="3">
        <v>5680</v>
      </c>
      <c r="J293" s="3">
        <v>5680</v>
      </c>
      <c r="K293">
        <f t="shared" si="4"/>
        <v>5680</v>
      </c>
    </row>
    <row r="294" spans="1:11" x14ac:dyDescent="0.3">
      <c r="A294" s="5" t="s">
        <v>133</v>
      </c>
      <c r="B294" s="7">
        <v>44880</v>
      </c>
      <c r="C294" s="5" t="s">
        <v>11</v>
      </c>
      <c r="D294" s="5">
        <v>670866</v>
      </c>
      <c r="E294" s="5" t="s">
        <v>146</v>
      </c>
      <c r="F294" s="7">
        <v>44880</v>
      </c>
      <c r="G294" s="4">
        <v>249</v>
      </c>
      <c r="H294" s="5" t="s">
        <v>13</v>
      </c>
      <c r="I294" s="3">
        <v>5680</v>
      </c>
      <c r="J294" s="3">
        <v>5680</v>
      </c>
      <c r="K294">
        <f t="shared" si="4"/>
        <v>5680</v>
      </c>
    </row>
    <row r="295" spans="1:11" x14ac:dyDescent="0.3">
      <c r="A295" s="5" t="s">
        <v>133</v>
      </c>
      <c r="B295" s="7">
        <v>44880</v>
      </c>
      <c r="C295" s="5" t="s">
        <v>11</v>
      </c>
      <c r="D295" s="5">
        <v>88199</v>
      </c>
      <c r="E295" s="5" t="s">
        <v>155</v>
      </c>
      <c r="F295" s="7">
        <v>44880</v>
      </c>
      <c r="G295" s="4">
        <v>249</v>
      </c>
      <c r="H295" s="5" t="s">
        <v>13</v>
      </c>
      <c r="I295" s="3">
        <v>5364.6</v>
      </c>
      <c r="J295" s="3">
        <v>2937.4</v>
      </c>
      <c r="K295">
        <f t="shared" si="4"/>
        <v>2937.4</v>
      </c>
    </row>
    <row r="296" spans="1:11" x14ac:dyDescent="0.3">
      <c r="A296" s="5" t="s">
        <v>133</v>
      </c>
      <c r="B296" s="7">
        <v>44880</v>
      </c>
      <c r="C296" s="5" t="s">
        <v>11</v>
      </c>
      <c r="D296" s="5">
        <v>108337</v>
      </c>
      <c r="E296" s="5" t="s">
        <v>68</v>
      </c>
      <c r="F296" s="7">
        <v>44880</v>
      </c>
      <c r="G296" s="4">
        <v>249</v>
      </c>
      <c r="H296" s="5" t="s">
        <v>13</v>
      </c>
      <c r="I296" s="3">
        <v>3936.8</v>
      </c>
      <c r="J296" s="3">
        <v>3936.8</v>
      </c>
      <c r="K296">
        <f t="shared" si="4"/>
        <v>3936.8</v>
      </c>
    </row>
    <row r="297" spans="1:11" x14ac:dyDescent="0.3">
      <c r="A297" s="5" t="s">
        <v>133</v>
      </c>
      <c r="B297" s="7">
        <v>44880</v>
      </c>
      <c r="C297" s="5" t="s">
        <v>11</v>
      </c>
      <c r="D297" s="5">
        <v>108338</v>
      </c>
      <c r="E297" s="5" t="s">
        <v>68</v>
      </c>
      <c r="F297" s="7">
        <v>44880</v>
      </c>
      <c r="G297" s="4">
        <v>249</v>
      </c>
      <c r="H297" s="5" t="s">
        <v>13</v>
      </c>
      <c r="I297" s="3">
        <v>3862.4</v>
      </c>
      <c r="J297" s="3">
        <v>3862.4</v>
      </c>
      <c r="K297">
        <f t="shared" si="4"/>
        <v>3862.4</v>
      </c>
    </row>
    <row r="298" spans="1:11" x14ac:dyDescent="0.3">
      <c r="A298" s="5" t="s">
        <v>133</v>
      </c>
      <c r="B298" s="7">
        <v>44880</v>
      </c>
      <c r="C298" s="5" t="s">
        <v>11</v>
      </c>
      <c r="D298" s="5">
        <v>108339</v>
      </c>
      <c r="E298" s="5" t="s">
        <v>68</v>
      </c>
      <c r="F298" s="7">
        <v>44880</v>
      </c>
      <c r="G298" s="4">
        <v>249</v>
      </c>
      <c r="H298" s="5" t="s">
        <v>13</v>
      </c>
      <c r="I298" s="3">
        <v>3862.4</v>
      </c>
      <c r="J298" s="3">
        <v>3862.4</v>
      </c>
      <c r="K298">
        <f t="shared" si="4"/>
        <v>3862.4</v>
      </c>
    </row>
    <row r="299" spans="1:11" x14ac:dyDescent="0.3">
      <c r="A299" s="5" t="s">
        <v>133</v>
      </c>
      <c r="B299" s="7">
        <v>44880</v>
      </c>
      <c r="C299" s="5" t="s">
        <v>11</v>
      </c>
      <c r="D299" s="5">
        <v>108340</v>
      </c>
      <c r="E299" s="5" t="s">
        <v>68</v>
      </c>
      <c r="F299" s="7">
        <v>44880</v>
      </c>
      <c r="G299" s="4">
        <v>249</v>
      </c>
      <c r="H299" s="5" t="s">
        <v>13</v>
      </c>
      <c r="I299" s="3">
        <v>3862.4</v>
      </c>
      <c r="J299" s="3">
        <v>3862.4</v>
      </c>
      <c r="K299">
        <f t="shared" si="4"/>
        <v>3862.4</v>
      </c>
    </row>
    <row r="300" spans="1:11" x14ac:dyDescent="0.3">
      <c r="A300" s="5" t="s">
        <v>133</v>
      </c>
      <c r="B300" s="7">
        <v>44880</v>
      </c>
      <c r="C300" s="5" t="s">
        <v>11</v>
      </c>
      <c r="D300" s="5">
        <v>670864</v>
      </c>
      <c r="E300" s="5" t="s">
        <v>146</v>
      </c>
      <c r="F300" s="7">
        <v>44880</v>
      </c>
      <c r="G300" s="4">
        <v>249</v>
      </c>
      <c r="H300" s="5" t="s">
        <v>13</v>
      </c>
      <c r="I300" s="3">
        <v>350</v>
      </c>
      <c r="J300" s="3">
        <v>350</v>
      </c>
      <c r="K300">
        <f t="shared" si="4"/>
        <v>350</v>
      </c>
    </row>
    <row r="301" spans="1:11" x14ac:dyDescent="0.3">
      <c r="A301" s="5" t="s">
        <v>133</v>
      </c>
      <c r="B301" s="7">
        <v>44880</v>
      </c>
      <c r="C301" s="5" t="s">
        <v>11</v>
      </c>
      <c r="D301" s="5">
        <v>670867</v>
      </c>
      <c r="E301" s="5" t="s">
        <v>146</v>
      </c>
      <c r="F301" s="7">
        <v>44880</v>
      </c>
      <c r="G301" s="4">
        <v>249</v>
      </c>
      <c r="H301" s="5" t="s">
        <v>13</v>
      </c>
      <c r="I301" s="3">
        <v>350</v>
      </c>
      <c r="J301" s="3">
        <v>350</v>
      </c>
      <c r="K301">
        <f t="shared" si="4"/>
        <v>350</v>
      </c>
    </row>
    <row r="302" spans="1:11" x14ac:dyDescent="0.3">
      <c r="A302" s="5" t="s">
        <v>133</v>
      </c>
      <c r="B302" s="7">
        <v>44881</v>
      </c>
      <c r="C302" s="5" t="s">
        <v>11</v>
      </c>
      <c r="D302" s="5">
        <v>3091125</v>
      </c>
      <c r="E302" s="5" t="s">
        <v>136</v>
      </c>
      <c r="F302" s="7">
        <v>44881</v>
      </c>
      <c r="G302" s="4">
        <v>248</v>
      </c>
      <c r="H302" s="5" t="s">
        <v>13</v>
      </c>
      <c r="I302" s="3">
        <v>190</v>
      </c>
      <c r="J302" s="3">
        <v>190</v>
      </c>
      <c r="K302">
        <f t="shared" si="4"/>
        <v>190</v>
      </c>
    </row>
    <row r="303" spans="1:11" x14ac:dyDescent="0.3">
      <c r="A303" s="5" t="s">
        <v>133</v>
      </c>
      <c r="B303" s="7">
        <v>44881</v>
      </c>
      <c r="C303" s="5" t="s">
        <v>11</v>
      </c>
      <c r="D303" s="5">
        <v>89088017</v>
      </c>
      <c r="E303" s="5" t="s">
        <v>156</v>
      </c>
      <c r="F303" s="7">
        <v>44881</v>
      </c>
      <c r="G303" s="4">
        <v>248</v>
      </c>
      <c r="H303" s="5" t="s">
        <v>13</v>
      </c>
      <c r="I303" s="3">
        <v>97.37</v>
      </c>
      <c r="J303" s="3">
        <v>97.37</v>
      </c>
      <c r="K303">
        <f t="shared" si="4"/>
        <v>97.37</v>
      </c>
    </row>
    <row r="304" spans="1:11" x14ac:dyDescent="0.3">
      <c r="A304" s="5" t="s">
        <v>133</v>
      </c>
      <c r="B304" s="7">
        <v>44882</v>
      </c>
      <c r="C304" s="5" t="s">
        <v>11</v>
      </c>
      <c r="D304" s="5">
        <v>36762463</v>
      </c>
      <c r="E304" s="5" t="s">
        <v>149</v>
      </c>
      <c r="F304" s="7">
        <v>44882</v>
      </c>
      <c r="G304" s="4">
        <v>247</v>
      </c>
      <c r="H304" s="5" t="s">
        <v>13</v>
      </c>
      <c r="I304" s="3">
        <v>2491</v>
      </c>
      <c r="J304" s="3">
        <v>2491</v>
      </c>
      <c r="K304">
        <f t="shared" si="4"/>
        <v>2491</v>
      </c>
    </row>
    <row r="305" spans="1:11" x14ac:dyDescent="0.3">
      <c r="A305" s="5" t="s">
        <v>133</v>
      </c>
      <c r="B305" s="7">
        <v>44882</v>
      </c>
      <c r="C305" s="5" t="s">
        <v>11</v>
      </c>
      <c r="D305" s="5">
        <v>3105173</v>
      </c>
      <c r="E305" s="5" t="s">
        <v>136</v>
      </c>
      <c r="F305" s="7">
        <v>44882</v>
      </c>
      <c r="G305" s="4">
        <v>247</v>
      </c>
      <c r="H305" s="5" t="s">
        <v>13</v>
      </c>
      <c r="I305" s="3">
        <v>125</v>
      </c>
      <c r="J305" s="3">
        <v>125</v>
      </c>
      <c r="K305">
        <f t="shared" si="4"/>
        <v>125</v>
      </c>
    </row>
    <row r="306" spans="1:11" x14ac:dyDescent="0.3">
      <c r="A306" s="5" t="s">
        <v>133</v>
      </c>
      <c r="B306" s="7">
        <v>44883</v>
      </c>
      <c r="C306" s="5" t="s">
        <v>11</v>
      </c>
      <c r="D306" s="5">
        <v>625866</v>
      </c>
      <c r="E306" s="5" t="s">
        <v>137</v>
      </c>
      <c r="F306" s="7">
        <v>44883</v>
      </c>
      <c r="G306" s="4">
        <v>246</v>
      </c>
      <c r="H306" s="5" t="s">
        <v>13</v>
      </c>
      <c r="I306" s="3">
        <v>2405.5</v>
      </c>
      <c r="J306" s="3">
        <v>2405.5</v>
      </c>
      <c r="K306">
        <f t="shared" si="4"/>
        <v>2405.5</v>
      </c>
    </row>
    <row r="307" spans="1:11" x14ac:dyDescent="0.3">
      <c r="A307" s="5" t="s">
        <v>133</v>
      </c>
      <c r="B307" s="7">
        <v>44883</v>
      </c>
      <c r="C307" s="5" t="s">
        <v>11</v>
      </c>
      <c r="D307" s="5">
        <v>625863</v>
      </c>
      <c r="E307" s="5" t="s">
        <v>137</v>
      </c>
      <c r="F307" s="7">
        <v>44883</v>
      </c>
      <c r="G307" s="4">
        <v>246</v>
      </c>
      <c r="H307" s="5" t="s">
        <v>13</v>
      </c>
      <c r="I307" s="3">
        <v>2002.2</v>
      </c>
      <c r="J307" s="3">
        <v>2002.2</v>
      </c>
      <c r="K307">
        <f t="shared" si="4"/>
        <v>2002.2</v>
      </c>
    </row>
    <row r="308" spans="1:11" x14ac:dyDescent="0.3">
      <c r="A308" s="5" t="s">
        <v>133</v>
      </c>
      <c r="B308" s="7">
        <v>44883</v>
      </c>
      <c r="C308" s="5" t="s">
        <v>11</v>
      </c>
      <c r="D308" s="5">
        <v>625864</v>
      </c>
      <c r="E308" s="5" t="s">
        <v>137</v>
      </c>
      <c r="F308" s="7">
        <v>44883</v>
      </c>
      <c r="G308" s="4">
        <v>246</v>
      </c>
      <c r="H308" s="5" t="s">
        <v>13</v>
      </c>
      <c r="I308" s="3">
        <v>2002.2</v>
      </c>
      <c r="J308" s="3">
        <v>2002.2</v>
      </c>
      <c r="K308">
        <f t="shared" si="4"/>
        <v>2002.2</v>
      </c>
    </row>
    <row r="309" spans="1:11" x14ac:dyDescent="0.3">
      <c r="A309" s="5" t="s">
        <v>133</v>
      </c>
      <c r="B309" s="7">
        <v>44883</v>
      </c>
      <c r="C309" s="5" t="s">
        <v>11</v>
      </c>
      <c r="D309" s="5">
        <v>625865</v>
      </c>
      <c r="E309" s="5" t="s">
        <v>137</v>
      </c>
      <c r="F309" s="7">
        <v>44883</v>
      </c>
      <c r="G309" s="4">
        <v>246</v>
      </c>
      <c r="H309" s="5" t="s">
        <v>13</v>
      </c>
      <c r="I309" s="3">
        <v>2002.2</v>
      </c>
      <c r="J309" s="3">
        <v>2002.2</v>
      </c>
      <c r="K309">
        <f t="shared" si="4"/>
        <v>2002.2</v>
      </c>
    </row>
    <row r="310" spans="1:11" x14ac:dyDescent="0.3">
      <c r="A310" s="5" t="s">
        <v>133</v>
      </c>
      <c r="B310" s="7">
        <v>44885</v>
      </c>
      <c r="C310" s="5" t="s">
        <v>11</v>
      </c>
      <c r="D310" s="5">
        <v>626693</v>
      </c>
      <c r="E310" s="5" t="s">
        <v>137</v>
      </c>
      <c r="F310" s="7">
        <v>44885</v>
      </c>
      <c r="G310" s="4">
        <v>244</v>
      </c>
      <c r="H310" s="5" t="s">
        <v>13</v>
      </c>
      <c r="I310" s="3">
        <v>600</v>
      </c>
      <c r="J310" s="3">
        <v>600</v>
      </c>
      <c r="K310">
        <f t="shared" si="4"/>
        <v>600</v>
      </c>
    </row>
    <row r="311" spans="1:11" x14ac:dyDescent="0.3">
      <c r="A311" s="5" t="s">
        <v>133</v>
      </c>
      <c r="B311" s="7">
        <v>44887</v>
      </c>
      <c r="C311" s="5" t="s">
        <v>11</v>
      </c>
      <c r="D311" s="5">
        <v>36764712</v>
      </c>
      <c r="E311" s="5" t="s">
        <v>149</v>
      </c>
      <c r="F311" s="7">
        <v>44887</v>
      </c>
      <c r="G311" s="4">
        <v>242</v>
      </c>
      <c r="H311" s="5" t="s">
        <v>13</v>
      </c>
      <c r="I311" s="3">
        <v>459.68</v>
      </c>
      <c r="J311" s="3">
        <v>459.68</v>
      </c>
      <c r="K311">
        <f t="shared" si="4"/>
        <v>459.68</v>
      </c>
    </row>
    <row r="312" spans="1:11" x14ac:dyDescent="0.3">
      <c r="A312" s="5" t="s">
        <v>133</v>
      </c>
      <c r="B312" s="7">
        <v>44888</v>
      </c>
      <c r="C312" s="5" t="s">
        <v>11</v>
      </c>
      <c r="D312" s="5">
        <v>672344</v>
      </c>
      <c r="E312" s="5" t="s">
        <v>146</v>
      </c>
      <c r="F312" s="7">
        <v>44888</v>
      </c>
      <c r="G312" s="4">
        <v>241</v>
      </c>
      <c r="H312" s="5" t="s">
        <v>13</v>
      </c>
      <c r="I312" s="3">
        <v>200</v>
      </c>
      <c r="J312" s="3">
        <v>200</v>
      </c>
      <c r="K312">
        <f t="shared" si="4"/>
        <v>200</v>
      </c>
    </row>
    <row r="313" spans="1:11" x14ac:dyDescent="0.3">
      <c r="A313" s="5" t="s">
        <v>133</v>
      </c>
      <c r="B313" s="7">
        <v>44862</v>
      </c>
      <c r="C313" s="5" t="s">
        <v>11</v>
      </c>
      <c r="D313" s="5">
        <v>10123726</v>
      </c>
      <c r="E313" s="5" t="s">
        <v>157</v>
      </c>
      <c r="F313" s="7">
        <v>44892</v>
      </c>
      <c r="G313" s="4">
        <v>237</v>
      </c>
      <c r="H313" s="5" t="s">
        <v>13</v>
      </c>
      <c r="I313" s="3">
        <v>1100</v>
      </c>
      <c r="J313" s="3">
        <v>1100</v>
      </c>
      <c r="K313">
        <f t="shared" si="4"/>
        <v>1100</v>
      </c>
    </row>
    <row r="314" spans="1:11" x14ac:dyDescent="0.3">
      <c r="A314" s="5" t="s">
        <v>133</v>
      </c>
      <c r="B314" s="7">
        <v>44862</v>
      </c>
      <c r="C314" s="5" t="s">
        <v>11</v>
      </c>
      <c r="D314" s="5">
        <v>10123727</v>
      </c>
      <c r="E314" s="5" t="s">
        <v>157</v>
      </c>
      <c r="F314" s="7">
        <v>44892</v>
      </c>
      <c r="G314" s="4">
        <v>237</v>
      </c>
      <c r="H314" s="5" t="s">
        <v>13</v>
      </c>
      <c r="I314" s="3">
        <v>1100</v>
      </c>
      <c r="J314" s="3">
        <v>1100</v>
      </c>
      <c r="K314">
        <f t="shared" si="4"/>
        <v>1100</v>
      </c>
    </row>
    <row r="315" spans="1:11" x14ac:dyDescent="0.3">
      <c r="A315" s="5" t="s">
        <v>133</v>
      </c>
      <c r="B315" s="7">
        <v>44862</v>
      </c>
      <c r="C315" s="5" t="s">
        <v>11</v>
      </c>
      <c r="D315" s="5">
        <v>10123728</v>
      </c>
      <c r="E315" s="5" t="s">
        <v>157</v>
      </c>
      <c r="F315" s="7">
        <v>44892</v>
      </c>
      <c r="G315" s="4">
        <v>237</v>
      </c>
      <c r="H315" s="5" t="s">
        <v>13</v>
      </c>
      <c r="I315" s="3">
        <v>1100</v>
      </c>
      <c r="J315" s="3">
        <v>1100</v>
      </c>
      <c r="K315">
        <f t="shared" si="4"/>
        <v>1100</v>
      </c>
    </row>
    <row r="316" spans="1:11" x14ac:dyDescent="0.3">
      <c r="A316" s="5" t="s">
        <v>133</v>
      </c>
      <c r="B316" s="7">
        <v>44862</v>
      </c>
      <c r="C316" s="5" t="s">
        <v>11</v>
      </c>
      <c r="D316" s="5">
        <v>10123740</v>
      </c>
      <c r="E316" s="5" t="s">
        <v>157</v>
      </c>
      <c r="F316" s="7">
        <v>44892</v>
      </c>
      <c r="G316" s="4">
        <v>237</v>
      </c>
      <c r="H316" s="5" t="s">
        <v>13</v>
      </c>
      <c r="I316" s="3">
        <v>1100</v>
      </c>
      <c r="J316" s="3">
        <v>1100</v>
      </c>
      <c r="K316">
        <f t="shared" si="4"/>
        <v>1100</v>
      </c>
    </row>
    <row r="317" spans="1:11" x14ac:dyDescent="0.3">
      <c r="A317" s="5" t="s">
        <v>133</v>
      </c>
      <c r="B317" s="7">
        <v>44862</v>
      </c>
      <c r="C317" s="5" t="s">
        <v>11</v>
      </c>
      <c r="D317" s="5">
        <v>10123725</v>
      </c>
      <c r="E317" s="5" t="s">
        <v>157</v>
      </c>
      <c r="F317" s="7">
        <v>44892</v>
      </c>
      <c r="G317" s="4">
        <v>237</v>
      </c>
      <c r="H317" s="5" t="s">
        <v>13</v>
      </c>
      <c r="I317" s="3">
        <v>1100</v>
      </c>
      <c r="J317" s="3">
        <v>1100</v>
      </c>
      <c r="K317">
        <f t="shared" si="4"/>
        <v>1100</v>
      </c>
    </row>
    <row r="318" spans="1:11" x14ac:dyDescent="0.3">
      <c r="A318" s="5" t="s">
        <v>133</v>
      </c>
      <c r="B318" s="7">
        <v>44893</v>
      </c>
      <c r="C318" s="5" t="s">
        <v>11</v>
      </c>
      <c r="D318" s="5">
        <v>36766016</v>
      </c>
      <c r="E318" s="5" t="s">
        <v>149</v>
      </c>
      <c r="F318" s="7">
        <v>44893</v>
      </c>
      <c r="G318" s="4">
        <v>236</v>
      </c>
      <c r="H318" s="5" t="s">
        <v>13</v>
      </c>
      <c r="I318" s="3">
        <v>9100</v>
      </c>
      <c r="J318" s="3">
        <v>9100</v>
      </c>
      <c r="K318">
        <f t="shared" si="4"/>
        <v>9100</v>
      </c>
    </row>
    <row r="319" spans="1:11" x14ac:dyDescent="0.3">
      <c r="A319" s="5" t="s">
        <v>133</v>
      </c>
      <c r="B319" s="7">
        <v>44893</v>
      </c>
      <c r="C319" s="5" t="s">
        <v>11</v>
      </c>
      <c r="D319" s="5">
        <v>36766017</v>
      </c>
      <c r="E319" s="5" t="s">
        <v>149</v>
      </c>
      <c r="F319" s="7">
        <v>44893</v>
      </c>
      <c r="G319" s="4">
        <v>236</v>
      </c>
      <c r="H319" s="5" t="s">
        <v>13</v>
      </c>
      <c r="I319" s="3">
        <v>7446</v>
      </c>
      <c r="J319" s="3">
        <v>7446</v>
      </c>
      <c r="K319">
        <f t="shared" si="4"/>
        <v>7446</v>
      </c>
    </row>
    <row r="320" spans="1:11" x14ac:dyDescent="0.3">
      <c r="A320" s="5" t="s">
        <v>133</v>
      </c>
      <c r="B320" s="7">
        <v>44894</v>
      </c>
      <c r="C320" s="5" t="s">
        <v>11</v>
      </c>
      <c r="D320" s="5">
        <v>36767240</v>
      </c>
      <c r="E320" s="5" t="s">
        <v>149</v>
      </c>
      <c r="F320" s="7">
        <v>44894</v>
      </c>
      <c r="G320" s="4">
        <v>235</v>
      </c>
      <c r="H320" s="5" t="s">
        <v>13</v>
      </c>
      <c r="I320" s="3">
        <v>9851</v>
      </c>
      <c r="J320" s="3">
        <v>9851</v>
      </c>
      <c r="K320">
        <f t="shared" si="4"/>
        <v>9851</v>
      </c>
    </row>
    <row r="321" spans="1:11" x14ac:dyDescent="0.3">
      <c r="A321" s="5" t="s">
        <v>133</v>
      </c>
      <c r="B321" s="7">
        <v>44894</v>
      </c>
      <c r="C321" s="5" t="s">
        <v>11</v>
      </c>
      <c r="D321" s="5">
        <v>672994</v>
      </c>
      <c r="E321" s="5" t="s">
        <v>146</v>
      </c>
      <c r="F321" s="7">
        <v>44894</v>
      </c>
      <c r="G321" s="4">
        <v>235</v>
      </c>
      <c r="H321" s="5" t="s">
        <v>13</v>
      </c>
      <c r="I321" s="3">
        <v>3660</v>
      </c>
      <c r="J321" s="3">
        <v>3660</v>
      </c>
      <c r="K321">
        <f t="shared" si="4"/>
        <v>3660</v>
      </c>
    </row>
    <row r="322" spans="1:11" x14ac:dyDescent="0.3">
      <c r="A322" s="5" t="s">
        <v>133</v>
      </c>
      <c r="B322" s="7">
        <v>44894</v>
      </c>
      <c r="C322" s="5" t="s">
        <v>11</v>
      </c>
      <c r="D322" s="5">
        <v>672995</v>
      </c>
      <c r="E322" s="5" t="s">
        <v>146</v>
      </c>
      <c r="F322" s="7">
        <v>44894</v>
      </c>
      <c r="G322" s="4">
        <v>235</v>
      </c>
      <c r="H322" s="5" t="s">
        <v>13</v>
      </c>
      <c r="I322" s="3">
        <v>3660</v>
      </c>
      <c r="J322" s="3">
        <v>3660</v>
      </c>
      <c r="K322">
        <f t="shared" si="4"/>
        <v>3660</v>
      </c>
    </row>
    <row r="323" spans="1:11" x14ac:dyDescent="0.3">
      <c r="A323" s="5" t="s">
        <v>133</v>
      </c>
      <c r="B323" s="7">
        <v>44894</v>
      </c>
      <c r="C323" s="5" t="s">
        <v>11</v>
      </c>
      <c r="D323" s="5">
        <v>672996</v>
      </c>
      <c r="E323" s="5" t="s">
        <v>146</v>
      </c>
      <c r="F323" s="7">
        <v>44894</v>
      </c>
      <c r="G323" s="4">
        <v>235</v>
      </c>
      <c r="H323" s="5" t="s">
        <v>13</v>
      </c>
      <c r="I323" s="3">
        <v>3660</v>
      </c>
      <c r="J323" s="3">
        <v>3660</v>
      </c>
      <c r="K323">
        <f t="shared" si="4"/>
        <v>3660</v>
      </c>
    </row>
    <row r="324" spans="1:11" x14ac:dyDescent="0.3">
      <c r="A324" s="5" t="s">
        <v>133</v>
      </c>
      <c r="B324" s="7">
        <v>44894</v>
      </c>
      <c r="C324" s="5" t="s">
        <v>11</v>
      </c>
      <c r="D324" s="5">
        <v>672997</v>
      </c>
      <c r="E324" s="5" t="s">
        <v>146</v>
      </c>
      <c r="F324" s="7">
        <v>44894</v>
      </c>
      <c r="G324" s="4">
        <v>235</v>
      </c>
      <c r="H324" s="5" t="s">
        <v>13</v>
      </c>
      <c r="I324" s="3">
        <v>3660</v>
      </c>
      <c r="J324" s="3">
        <v>3660</v>
      </c>
      <c r="K324">
        <f t="shared" ref="K324:K387" si="5">IF(H324="91+ days",J324,0)</f>
        <v>3660</v>
      </c>
    </row>
    <row r="325" spans="1:11" x14ac:dyDescent="0.3">
      <c r="A325" s="5" t="s">
        <v>133</v>
      </c>
      <c r="B325" s="7">
        <v>44894</v>
      </c>
      <c r="C325" s="5" t="s">
        <v>11</v>
      </c>
      <c r="D325" s="5">
        <v>36767241</v>
      </c>
      <c r="E325" s="5" t="s">
        <v>149</v>
      </c>
      <c r="F325" s="7">
        <v>44894</v>
      </c>
      <c r="G325" s="4">
        <v>235</v>
      </c>
      <c r="H325" s="5" t="s">
        <v>13</v>
      </c>
      <c r="I325" s="3">
        <v>2782.5</v>
      </c>
      <c r="J325" s="3">
        <v>2782.5</v>
      </c>
      <c r="K325">
        <f t="shared" si="5"/>
        <v>2782.5</v>
      </c>
    </row>
    <row r="326" spans="1:11" x14ac:dyDescent="0.3">
      <c r="A326" s="5" t="s">
        <v>133</v>
      </c>
      <c r="B326" s="7">
        <v>44894</v>
      </c>
      <c r="C326" s="5" t="s">
        <v>11</v>
      </c>
      <c r="D326" s="5">
        <v>36767242</v>
      </c>
      <c r="E326" s="5" t="s">
        <v>149</v>
      </c>
      <c r="F326" s="7">
        <v>44894</v>
      </c>
      <c r="G326" s="4">
        <v>235</v>
      </c>
      <c r="H326" s="5" t="s">
        <v>13</v>
      </c>
      <c r="I326" s="3">
        <v>1508.1</v>
      </c>
      <c r="J326" s="3">
        <v>1508.1</v>
      </c>
      <c r="K326">
        <f t="shared" si="5"/>
        <v>1508.1</v>
      </c>
    </row>
    <row r="327" spans="1:11" x14ac:dyDescent="0.3">
      <c r="A327" s="5" t="s">
        <v>133</v>
      </c>
      <c r="B327" s="7">
        <v>44894</v>
      </c>
      <c r="C327" s="5" t="s">
        <v>11</v>
      </c>
      <c r="D327" s="5">
        <v>36767243</v>
      </c>
      <c r="E327" s="5" t="s">
        <v>149</v>
      </c>
      <c r="F327" s="7">
        <v>44894</v>
      </c>
      <c r="G327" s="4">
        <v>235</v>
      </c>
      <c r="H327" s="5" t="s">
        <v>13</v>
      </c>
      <c r="I327" s="3">
        <v>1422.45</v>
      </c>
      <c r="J327" s="3">
        <v>1422.45</v>
      </c>
      <c r="K327">
        <f t="shared" si="5"/>
        <v>1422.45</v>
      </c>
    </row>
    <row r="328" spans="1:11" x14ac:dyDescent="0.3">
      <c r="A328" s="5" t="s">
        <v>133</v>
      </c>
      <c r="B328" s="7">
        <v>44896</v>
      </c>
      <c r="C328" s="5" t="s">
        <v>11</v>
      </c>
      <c r="D328" s="5">
        <v>631720</v>
      </c>
      <c r="E328" s="5" t="s">
        <v>137</v>
      </c>
      <c r="F328" s="7">
        <v>44896</v>
      </c>
      <c r="G328" s="4">
        <v>233</v>
      </c>
      <c r="H328" s="5" t="s">
        <v>13</v>
      </c>
      <c r="I328" s="3">
        <v>3766.26</v>
      </c>
      <c r="J328" s="3">
        <v>3766.26</v>
      </c>
      <c r="K328">
        <f t="shared" si="5"/>
        <v>3766.26</v>
      </c>
    </row>
    <row r="329" spans="1:11" x14ac:dyDescent="0.3">
      <c r="A329" s="5" t="s">
        <v>133</v>
      </c>
      <c r="B329" s="7">
        <v>44896</v>
      </c>
      <c r="C329" s="5" t="s">
        <v>11</v>
      </c>
      <c r="D329" s="5">
        <v>631724</v>
      </c>
      <c r="E329" s="5" t="s">
        <v>137</v>
      </c>
      <c r="F329" s="7">
        <v>44896</v>
      </c>
      <c r="G329" s="4">
        <v>233</v>
      </c>
      <c r="H329" s="5" t="s">
        <v>13</v>
      </c>
      <c r="I329" s="3">
        <v>3162.74</v>
      </c>
      <c r="J329" s="3">
        <v>3162.74</v>
      </c>
      <c r="K329">
        <f t="shared" si="5"/>
        <v>3162.74</v>
      </c>
    </row>
    <row r="330" spans="1:11" x14ac:dyDescent="0.3">
      <c r="A330" s="5" t="s">
        <v>133</v>
      </c>
      <c r="B330" s="7">
        <v>44896</v>
      </c>
      <c r="C330" s="5" t="s">
        <v>11</v>
      </c>
      <c r="D330" s="5">
        <v>631700</v>
      </c>
      <c r="E330" s="5" t="s">
        <v>137</v>
      </c>
      <c r="F330" s="7">
        <v>44896</v>
      </c>
      <c r="G330" s="4">
        <v>233</v>
      </c>
      <c r="H330" s="5" t="s">
        <v>13</v>
      </c>
      <c r="I330" s="3">
        <v>579.5</v>
      </c>
      <c r="J330" s="3">
        <v>579.5</v>
      </c>
      <c r="K330">
        <f t="shared" si="5"/>
        <v>579.5</v>
      </c>
    </row>
    <row r="331" spans="1:11" x14ac:dyDescent="0.3">
      <c r="A331" s="5" t="s">
        <v>133</v>
      </c>
      <c r="B331" s="7">
        <v>44896</v>
      </c>
      <c r="C331" s="5" t="s">
        <v>11</v>
      </c>
      <c r="D331" s="5">
        <v>631708</v>
      </c>
      <c r="E331" s="5" t="s">
        <v>137</v>
      </c>
      <c r="F331" s="7">
        <v>44896</v>
      </c>
      <c r="G331" s="4">
        <v>233</v>
      </c>
      <c r="H331" s="5" t="s">
        <v>13</v>
      </c>
      <c r="I331" s="3">
        <v>579.5</v>
      </c>
      <c r="J331" s="3">
        <v>579.5</v>
      </c>
      <c r="K331">
        <f t="shared" si="5"/>
        <v>579.5</v>
      </c>
    </row>
    <row r="332" spans="1:11" x14ac:dyDescent="0.3">
      <c r="A332" s="5" t="s">
        <v>133</v>
      </c>
      <c r="B332" s="7">
        <v>44896</v>
      </c>
      <c r="C332" s="5" t="s">
        <v>11</v>
      </c>
      <c r="D332" s="5">
        <v>631718</v>
      </c>
      <c r="E332" s="5" t="s">
        <v>137</v>
      </c>
      <c r="F332" s="7">
        <v>44896</v>
      </c>
      <c r="G332" s="4">
        <v>233</v>
      </c>
      <c r="H332" s="5" t="s">
        <v>13</v>
      </c>
      <c r="I332" s="3">
        <v>579.5</v>
      </c>
      <c r="J332" s="3">
        <v>579.5</v>
      </c>
      <c r="K332">
        <f t="shared" si="5"/>
        <v>579.5</v>
      </c>
    </row>
    <row r="333" spans="1:11" x14ac:dyDescent="0.3">
      <c r="A333" s="5" t="s">
        <v>133</v>
      </c>
      <c r="B333" s="7">
        <v>44896</v>
      </c>
      <c r="C333" s="5" t="s">
        <v>11</v>
      </c>
      <c r="D333" s="5">
        <v>631701</v>
      </c>
      <c r="E333" s="5" t="s">
        <v>137</v>
      </c>
      <c r="F333" s="7">
        <v>44896</v>
      </c>
      <c r="G333" s="4">
        <v>233</v>
      </c>
      <c r="H333" s="5" t="s">
        <v>13</v>
      </c>
      <c r="I333" s="3">
        <v>510.81</v>
      </c>
      <c r="J333" s="3">
        <v>510.81</v>
      </c>
      <c r="K333">
        <f t="shared" si="5"/>
        <v>510.81</v>
      </c>
    </row>
    <row r="334" spans="1:11" x14ac:dyDescent="0.3">
      <c r="A334" s="5" t="s">
        <v>133</v>
      </c>
      <c r="B334" s="7">
        <v>44896</v>
      </c>
      <c r="C334" s="5" t="s">
        <v>11</v>
      </c>
      <c r="D334" s="5">
        <v>631705</v>
      </c>
      <c r="E334" s="5" t="s">
        <v>137</v>
      </c>
      <c r="F334" s="7">
        <v>44896</v>
      </c>
      <c r="G334" s="4">
        <v>233</v>
      </c>
      <c r="H334" s="5" t="s">
        <v>13</v>
      </c>
      <c r="I334" s="3">
        <v>510.81</v>
      </c>
      <c r="J334" s="3">
        <v>510.81</v>
      </c>
      <c r="K334">
        <f t="shared" si="5"/>
        <v>510.81</v>
      </c>
    </row>
    <row r="335" spans="1:11" x14ac:dyDescent="0.3">
      <c r="A335" s="5" t="s">
        <v>133</v>
      </c>
      <c r="B335" s="7">
        <v>44896</v>
      </c>
      <c r="C335" s="5" t="s">
        <v>11</v>
      </c>
      <c r="D335" s="5">
        <v>631703</v>
      </c>
      <c r="E335" s="5" t="s">
        <v>137</v>
      </c>
      <c r="F335" s="7">
        <v>44896</v>
      </c>
      <c r="G335" s="4">
        <v>233</v>
      </c>
      <c r="H335" s="5" t="s">
        <v>13</v>
      </c>
      <c r="I335" s="3">
        <v>510.43</v>
      </c>
      <c r="J335" s="3">
        <v>510.43</v>
      </c>
      <c r="K335">
        <f t="shared" si="5"/>
        <v>510.43</v>
      </c>
    </row>
    <row r="336" spans="1:11" x14ac:dyDescent="0.3">
      <c r="A336" s="5" t="s">
        <v>133</v>
      </c>
      <c r="B336" s="7">
        <v>44896</v>
      </c>
      <c r="C336" s="5" t="s">
        <v>11</v>
      </c>
      <c r="D336" s="5">
        <v>631704</v>
      </c>
      <c r="E336" s="5" t="s">
        <v>137</v>
      </c>
      <c r="F336" s="7">
        <v>44896</v>
      </c>
      <c r="G336" s="4">
        <v>233</v>
      </c>
      <c r="H336" s="5" t="s">
        <v>13</v>
      </c>
      <c r="I336" s="3">
        <v>510.43</v>
      </c>
      <c r="J336" s="3">
        <v>510.43</v>
      </c>
      <c r="K336">
        <f t="shared" si="5"/>
        <v>510.43</v>
      </c>
    </row>
    <row r="337" spans="1:11" x14ac:dyDescent="0.3">
      <c r="A337" s="5" t="s">
        <v>133</v>
      </c>
      <c r="B337" s="7">
        <v>44896</v>
      </c>
      <c r="C337" s="5" t="s">
        <v>11</v>
      </c>
      <c r="D337" s="5">
        <v>631715</v>
      </c>
      <c r="E337" s="5" t="s">
        <v>137</v>
      </c>
      <c r="F337" s="7">
        <v>44896</v>
      </c>
      <c r="G337" s="4">
        <v>233</v>
      </c>
      <c r="H337" s="5" t="s">
        <v>13</v>
      </c>
      <c r="I337" s="3">
        <v>510.43</v>
      </c>
      <c r="J337" s="3">
        <v>510.43</v>
      </c>
      <c r="K337">
        <f t="shared" si="5"/>
        <v>510.43</v>
      </c>
    </row>
    <row r="338" spans="1:11" x14ac:dyDescent="0.3">
      <c r="A338" s="5" t="s">
        <v>133</v>
      </c>
      <c r="B338" s="7">
        <v>44902</v>
      </c>
      <c r="C338" s="5" t="s">
        <v>11</v>
      </c>
      <c r="D338" s="5">
        <v>675206</v>
      </c>
      <c r="E338" s="5" t="s">
        <v>146</v>
      </c>
      <c r="F338" s="7">
        <v>44902</v>
      </c>
      <c r="G338" s="4">
        <v>227</v>
      </c>
      <c r="H338" s="5" t="s">
        <v>13</v>
      </c>
      <c r="I338" s="3">
        <v>1274</v>
      </c>
      <c r="J338" s="3">
        <v>1274</v>
      </c>
      <c r="K338">
        <f t="shared" si="5"/>
        <v>1274</v>
      </c>
    </row>
    <row r="339" spans="1:11" x14ac:dyDescent="0.3">
      <c r="A339" s="5" t="s">
        <v>133</v>
      </c>
      <c r="B339" s="7">
        <v>44902</v>
      </c>
      <c r="C339" s="5" t="s">
        <v>11</v>
      </c>
      <c r="D339" s="5">
        <v>675147</v>
      </c>
      <c r="E339" s="5" t="s">
        <v>146</v>
      </c>
      <c r="F339" s="7">
        <v>44902</v>
      </c>
      <c r="G339" s="4">
        <v>227</v>
      </c>
      <c r="H339" s="5" t="s">
        <v>13</v>
      </c>
      <c r="I339" s="3">
        <v>1274</v>
      </c>
      <c r="J339" s="3">
        <v>1274</v>
      </c>
      <c r="K339">
        <f t="shared" si="5"/>
        <v>1274</v>
      </c>
    </row>
    <row r="340" spans="1:11" x14ac:dyDescent="0.3">
      <c r="A340" s="5" t="s">
        <v>133</v>
      </c>
      <c r="B340" s="7">
        <v>44903</v>
      </c>
      <c r="C340" s="5" t="s">
        <v>11</v>
      </c>
      <c r="D340" s="5">
        <v>36772410</v>
      </c>
      <c r="E340" s="5" t="s">
        <v>149</v>
      </c>
      <c r="F340" s="7">
        <v>44903</v>
      </c>
      <c r="G340" s="4">
        <v>226</v>
      </c>
      <c r="H340" s="5" t="s">
        <v>13</v>
      </c>
      <c r="I340" s="3">
        <v>1908</v>
      </c>
      <c r="J340" s="3">
        <v>1908</v>
      </c>
      <c r="K340">
        <f t="shared" si="5"/>
        <v>1908</v>
      </c>
    </row>
    <row r="341" spans="1:11" x14ac:dyDescent="0.3">
      <c r="A341" s="5" t="s">
        <v>133</v>
      </c>
      <c r="B341" s="7">
        <v>44874</v>
      </c>
      <c r="C341" s="5" t="s">
        <v>11</v>
      </c>
      <c r="D341" s="5">
        <v>3008</v>
      </c>
      <c r="E341" s="5" t="s">
        <v>73</v>
      </c>
      <c r="F341" s="7">
        <v>44904</v>
      </c>
      <c r="G341" s="4">
        <v>225</v>
      </c>
      <c r="H341" s="5" t="s">
        <v>13</v>
      </c>
      <c r="I341" s="3">
        <v>930.5</v>
      </c>
      <c r="J341" s="3">
        <v>930.5</v>
      </c>
      <c r="K341">
        <f t="shared" si="5"/>
        <v>930.5</v>
      </c>
    </row>
    <row r="342" spans="1:11" x14ac:dyDescent="0.3">
      <c r="A342" s="5" t="s">
        <v>133</v>
      </c>
      <c r="B342" s="7">
        <v>44874</v>
      </c>
      <c r="C342" s="5" t="s">
        <v>11</v>
      </c>
      <c r="D342" s="5">
        <v>10138073</v>
      </c>
      <c r="E342" s="5" t="s">
        <v>157</v>
      </c>
      <c r="F342" s="7">
        <v>44904</v>
      </c>
      <c r="G342" s="4">
        <v>225</v>
      </c>
      <c r="H342" s="5" t="s">
        <v>13</v>
      </c>
      <c r="I342" s="3">
        <v>345</v>
      </c>
      <c r="J342" s="3">
        <v>345</v>
      </c>
      <c r="K342">
        <f t="shared" si="5"/>
        <v>345</v>
      </c>
    </row>
    <row r="343" spans="1:11" x14ac:dyDescent="0.3">
      <c r="A343" s="5" t="s">
        <v>133</v>
      </c>
      <c r="B343" s="7">
        <v>44907</v>
      </c>
      <c r="C343" s="5" t="s">
        <v>11</v>
      </c>
      <c r="D343" s="5">
        <v>36778438</v>
      </c>
      <c r="E343" s="5" t="s">
        <v>149</v>
      </c>
      <c r="F343" s="7">
        <v>44907</v>
      </c>
      <c r="G343" s="4">
        <v>222</v>
      </c>
      <c r="H343" s="5" t="s">
        <v>13</v>
      </c>
      <c r="I343" s="3">
        <v>1067.5</v>
      </c>
      <c r="J343" s="3">
        <v>1067.5</v>
      </c>
      <c r="K343">
        <f t="shared" si="5"/>
        <v>1067.5</v>
      </c>
    </row>
    <row r="344" spans="1:11" x14ac:dyDescent="0.3">
      <c r="A344" s="5" t="s">
        <v>133</v>
      </c>
      <c r="B344" s="7">
        <v>44907</v>
      </c>
      <c r="C344" s="5" t="s">
        <v>11</v>
      </c>
      <c r="D344" s="5">
        <v>628961</v>
      </c>
      <c r="E344" s="5" t="s">
        <v>137</v>
      </c>
      <c r="F344" s="7">
        <v>44907</v>
      </c>
      <c r="G344" s="4">
        <v>222</v>
      </c>
      <c r="H344" s="5" t="s">
        <v>13</v>
      </c>
      <c r="I344" s="3">
        <v>1000</v>
      </c>
      <c r="J344" s="3">
        <v>1000</v>
      </c>
      <c r="K344">
        <f t="shared" si="5"/>
        <v>1000</v>
      </c>
    </row>
    <row r="345" spans="1:11" x14ac:dyDescent="0.3">
      <c r="A345" s="5" t="s">
        <v>133</v>
      </c>
      <c r="B345" s="7">
        <v>44907</v>
      </c>
      <c r="C345" s="5" t="s">
        <v>11</v>
      </c>
      <c r="D345" s="5">
        <v>695662</v>
      </c>
      <c r="E345" s="5" t="s">
        <v>158</v>
      </c>
      <c r="F345" s="7">
        <v>44907</v>
      </c>
      <c r="G345" s="4">
        <v>222</v>
      </c>
      <c r="H345" s="5" t="s">
        <v>13</v>
      </c>
      <c r="I345" s="3">
        <v>400</v>
      </c>
      <c r="J345" s="3">
        <v>400</v>
      </c>
      <c r="K345">
        <f t="shared" si="5"/>
        <v>400</v>
      </c>
    </row>
    <row r="346" spans="1:11" x14ac:dyDescent="0.3">
      <c r="A346" s="5" t="s">
        <v>133</v>
      </c>
      <c r="B346" s="7">
        <v>44907</v>
      </c>
      <c r="C346" s="5" t="s">
        <v>11</v>
      </c>
      <c r="D346" s="5">
        <v>695664</v>
      </c>
      <c r="E346" s="5" t="s">
        <v>158</v>
      </c>
      <c r="F346" s="7">
        <v>44907</v>
      </c>
      <c r="G346" s="4">
        <v>222</v>
      </c>
      <c r="H346" s="5" t="s">
        <v>13</v>
      </c>
      <c r="I346" s="3">
        <v>200</v>
      </c>
      <c r="J346" s="3">
        <v>200</v>
      </c>
      <c r="K346">
        <f t="shared" si="5"/>
        <v>200</v>
      </c>
    </row>
    <row r="347" spans="1:11" x14ac:dyDescent="0.3">
      <c r="A347" s="5" t="s">
        <v>133</v>
      </c>
      <c r="B347" s="7">
        <v>44908</v>
      </c>
      <c r="C347" s="5" t="s">
        <v>11</v>
      </c>
      <c r="D347" s="5">
        <v>89680294</v>
      </c>
      <c r="E347" s="5" t="s">
        <v>156</v>
      </c>
      <c r="F347" s="7">
        <v>44908</v>
      </c>
      <c r="G347" s="4">
        <v>221</v>
      </c>
      <c r="H347" s="5" t="s">
        <v>13</v>
      </c>
      <c r="I347" s="3">
        <v>302.64</v>
      </c>
      <c r="J347" s="3">
        <v>302.64</v>
      </c>
      <c r="K347">
        <f t="shared" si="5"/>
        <v>302.64</v>
      </c>
    </row>
    <row r="348" spans="1:11" x14ac:dyDescent="0.3">
      <c r="A348" s="5" t="s">
        <v>133</v>
      </c>
      <c r="B348" s="7">
        <v>44908</v>
      </c>
      <c r="C348" s="5" t="s">
        <v>11</v>
      </c>
      <c r="D348" s="5">
        <v>89680200</v>
      </c>
      <c r="E348" s="5" t="s">
        <v>156</v>
      </c>
      <c r="F348" s="7">
        <v>44908</v>
      </c>
      <c r="G348" s="4">
        <v>221</v>
      </c>
      <c r="H348" s="5" t="s">
        <v>13</v>
      </c>
      <c r="I348" s="3">
        <v>302.64</v>
      </c>
      <c r="J348" s="3">
        <v>302.64</v>
      </c>
      <c r="K348">
        <f t="shared" si="5"/>
        <v>302.64</v>
      </c>
    </row>
    <row r="349" spans="1:11" x14ac:dyDescent="0.3">
      <c r="A349" s="5" t="s">
        <v>133</v>
      </c>
      <c r="B349" s="7">
        <v>44908</v>
      </c>
      <c r="C349" s="5" t="s">
        <v>11</v>
      </c>
      <c r="D349" s="5">
        <v>89680286</v>
      </c>
      <c r="E349" s="5" t="s">
        <v>156</v>
      </c>
      <c r="F349" s="7">
        <v>44908</v>
      </c>
      <c r="G349" s="4">
        <v>221</v>
      </c>
      <c r="H349" s="5" t="s">
        <v>13</v>
      </c>
      <c r="I349" s="3">
        <v>302.64</v>
      </c>
      <c r="J349" s="3">
        <v>302.64</v>
      </c>
      <c r="K349">
        <f t="shared" si="5"/>
        <v>302.64</v>
      </c>
    </row>
    <row r="350" spans="1:11" x14ac:dyDescent="0.3">
      <c r="A350" s="5" t="s">
        <v>133</v>
      </c>
      <c r="B350" s="7">
        <v>44908</v>
      </c>
      <c r="C350" s="5" t="s">
        <v>11</v>
      </c>
      <c r="D350" s="5">
        <v>89680215</v>
      </c>
      <c r="E350" s="5" t="s">
        <v>156</v>
      </c>
      <c r="F350" s="7">
        <v>44908</v>
      </c>
      <c r="G350" s="4">
        <v>221</v>
      </c>
      <c r="H350" s="5" t="s">
        <v>13</v>
      </c>
      <c r="I350" s="3">
        <v>302.64</v>
      </c>
      <c r="J350" s="3">
        <v>302.64</v>
      </c>
      <c r="K350">
        <f t="shared" si="5"/>
        <v>302.64</v>
      </c>
    </row>
    <row r="351" spans="1:11" x14ac:dyDescent="0.3">
      <c r="A351" s="5" t="s">
        <v>133</v>
      </c>
      <c r="B351" s="7">
        <v>44908</v>
      </c>
      <c r="C351" s="5" t="s">
        <v>11</v>
      </c>
      <c r="D351" s="5">
        <v>89680263</v>
      </c>
      <c r="E351" s="5" t="s">
        <v>156</v>
      </c>
      <c r="F351" s="7">
        <v>44908</v>
      </c>
      <c r="G351" s="4">
        <v>221</v>
      </c>
      <c r="H351" s="5" t="s">
        <v>13</v>
      </c>
      <c r="I351" s="3">
        <v>302.64</v>
      </c>
      <c r="J351" s="3">
        <v>302.64</v>
      </c>
      <c r="K351">
        <f t="shared" si="5"/>
        <v>302.64</v>
      </c>
    </row>
    <row r="352" spans="1:11" x14ac:dyDescent="0.3">
      <c r="A352" s="5" t="s">
        <v>133</v>
      </c>
      <c r="B352" s="7">
        <v>44908</v>
      </c>
      <c r="C352" s="5" t="s">
        <v>11</v>
      </c>
      <c r="D352" s="5">
        <v>89680219</v>
      </c>
      <c r="E352" s="5" t="s">
        <v>156</v>
      </c>
      <c r="F352" s="7">
        <v>44908</v>
      </c>
      <c r="G352" s="4">
        <v>221</v>
      </c>
      <c r="H352" s="5" t="s">
        <v>13</v>
      </c>
      <c r="I352" s="3">
        <v>302.64</v>
      </c>
      <c r="J352" s="3">
        <v>302.64</v>
      </c>
      <c r="K352">
        <f t="shared" si="5"/>
        <v>302.64</v>
      </c>
    </row>
    <row r="353" spans="1:11" x14ac:dyDescent="0.3">
      <c r="A353" s="5" t="s">
        <v>133</v>
      </c>
      <c r="B353" s="7">
        <v>44908</v>
      </c>
      <c r="C353" s="5" t="s">
        <v>11</v>
      </c>
      <c r="D353" s="5">
        <v>89680189</v>
      </c>
      <c r="E353" s="5" t="s">
        <v>156</v>
      </c>
      <c r="F353" s="7">
        <v>44908</v>
      </c>
      <c r="G353" s="4">
        <v>221</v>
      </c>
      <c r="H353" s="5" t="s">
        <v>13</v>
      </c>
      <c r="I353" s="3">
        <v>150</v>
      </c>
      <c r="J353" s="3">
        <v>150</v>
      </c>
      <c r="K353">
        <f t="shared" si="5"/>
        <v>150</v>
      </c>
    </row>
    <row r="354" spans="1:11" x14ac:dyDescent="0.3">
      <c r="A354" s="5" t="s">
        <v>133</v>
      </c>
      <c r="B354" s="7">
        <v>44908</v>
      </c>
      <c r="C354" s="5" t="s">
        <v>11</v>
      </c>
      <c r="D354" s="5">
        <v>89680292</v>
      </c>
      <c r="E354" s="5" t="s">
        <v>156</v>
      </c>
      <c r="F354" s="7">
        <v>44908</v>
      </c>
      <c r="G354" s="4">
        <v>221</v>
      </c>
      <c r="H354" s="5" t="s">
        <v>13</v>
      </c>
      <c r="I354" s="3">
        <v>150</v>
      </c>
      <c r="J354" s="3">
        <v>150</v>
      </c>
      <c r="K354">
        <f t="shared" si="5"/>
        <v>150</v>
      </c>
    </row>
    <row r="355" spans="1:11" x14ac:dyDescent="0.3">
      <c r="A355" s="5" t="s">
        <v>133</v>
      </c>
      <c r="B355" s="7">
        <v>44908</v>
      </c>
      <c r="C355" s="5" t="s">
        <v>11</v>
      </c>
      <c r="D355" s="5">
        <v>89680210</v>
      </c>
      <c r="E355" s="5" t="s">
        <v>156</v>
      </c>
      <c r="F355" s="7">
        <v>44908</v>
      </c>
      <c r="G355" s="4">
        <v>221</v>
      </c>
      <c r="H355" s="5" t="s">
        <v>13</v>
      </c>
      <c r="I355" s="3">
        <v>150</v>
      </c>
      <c r="J355" s="3">
        <v>150</v>
      </c>
      <c r="K355">
        <f t="shared" si="5"/>
        <v>150</v>
      </c>
    </row>
    <row r="356" spans="1:11" x14ac:dyDescent="0.3">
      <c r="A356" s="5" t="s">
        <v>133</v>
      </c>
      <c r="B356" s="7">
        <v>44908</v>
      </c>
      <c r="C356" s="5" t="s">
        <v>11</v>
      </c>
      <c r="D356" s="5">
        <v>89680265</v>
      </c>
      <c r="E356" s="5" t="s">
        <v>156</v>
      </c>
      <c r="F356" s="7">
        <v>44908</v>
      </c>
      <c r="G356" s="4">
        <v>221</v>
      </c>
      <c r="H356" s="5" t="s">
        <v>13</v>
      </c>
      <c r="I356" s="3">
        <v>150</v>
      </c>
      <c r="J356" s="3">
        <v>150</v>
      </c>
      <c r="K356">
        <f t="shared" si="5"/>
        <v>150</v>
      </c>
    </row>
    <row r="357" spans="1:11" x14ac:dyDescent="0.3">
      <c r="A357" s="5" t="s">
        <v>133</v>
      </c>
      <c r="B357" s="7">
        <v>44908</v>
      </c>
      <c r="C357" s="5" t="s">
        <v>11</v>
      </c>
      <c r="D357" s="5">
        <v>89680260</v>
      </c>
      <c r="E357" s="5" t="s">
        <v>156</v>
      </c>
      <c r="F357" s="7">
        <v>44908</v>
      </c>
      <c r="G357" s="4">
        <v>221</v>
      </c>
      <c r="H357" s="5" t="s">
        <v>13</v>
      </c>
      <c r="I357" s="3">
        <v>150</v>
      </c>
      <c r="J357" s="3">
        <v>150</v>
      </c>
      <c r="K357">
        <f t="shared" si="5"/>
        <v>150</v>
      </c>
    </row>
    <row r="358" spans="1:11" x14ac:dyDescent="0.3">
      <c r="A358" s="5" t="s">
        <v>133</v>
      </c>
      <c r="B358" s="7">
        <v>44908</v>
      </c>
      <c r="C358" s="5" t="s">
        <v>11</v>
      </c>
      <c r="D358" s="5">
        <v>89680216</v>
      </c>
      <c r="E358" s="5" t="s">
        <v>156</v>
      </c>
      <c r="F358" s="7">
        <v>44908</v>
      </c>
      <c r="G358" s="4">
        <v>221</v>
      </c>
      <c r="H358" s="5" t="s">
        <v>13</v>
      </c>
      <c r="I358" s="3">
        <v>150</v>
      </c>
      <c r="J358" s="3">
        <v>150</v>
      </c>
      <c r="K358">
        <f t="shared" si="5"/>
        <v>150</v>
      </c>
    </row>
    <row r="359" spans="1:11" x14ac:dyDescent="0.3">
      <c r="A359" s="5" t="s">
        <v>133</v>
      </c>
      <c r="B359" s="7">
        <v>44909</v>
      </c>
      <c r="C359" s="5" t="s">
        <v>11</v>
      </c>
      <c r="D359" s="5" t="s">
        <v>159</v>
      </c>
      <c r="E359" s="5" t="s">
        <v>160</v>
      </c>
      <c r="F359" s="7">
        <v>44909</v>
      </c>
      <c r="G359" s="4">
        <v>220</v>
      </c>
      <c r="H359" s="5" t="s">
        <v>13</v>
      </c>
      <c r="I359" s="3">
        <v>3602.7</v>
      </c>
      <c r="J359" s="3">
        <v>3602.7</v>
      </c>
      <c r="K359">
        <f t="shared" si="5"/>
        <v>3602.7</v>
      </c>
    </row>
    <row r="360" spans="1:11" x14ac:dyDescent="0.3">
      <c r="A360" s="5" t="s">
        <v>133</v>
      </c>
      <c r="B360" s="7">
        <v>44909</v>
      </c>
      <c r="C360" s="5" t="s">
        <v>11</v>
      </c>
      <c r="D360" s="5" t="s">
        <v>161</v>
      </c>
      <c r="E360" s="5" t="s">
        <v>160</v>
      </c>
      <c r="F360" s="7">
        <v>44909</v>
      </c>
      <c r="G360" s="4">
        <v>220</v>
      </c>
      <c r="H360" s="5" t="s">
        <v>13</v>
      </c>
      <c r="I360" s="3">
        <v>3586.38</v>
      </c>
      <c r="J360" s="3">
        <v>3586.38</v>
      </c>
      <c r="K360">
        <f t="shared" si="5"/>
        <v>3586.38</v>
      </c>
    </row>
    <row r="361" spans="1:11" x14ac:dyDescent="0.3">
      <c r="A361" s="5" t="s">
        <v>133</v>
      </c>
      <c r="B361" s="7">
        <v>44909</v>
      </c>
      <c r="C361" s="5" t="s">
        <v>11</v>
      </c>
      <c r="D361" s="5" t="s">
        <v>162</v>
      </c>
      <c r="E361" s="5" t="s">
        <v>160</v>
      </c>
      <c r="F361" s="7">
        <v>44909</v>
      </c>
      <c r="G361" s="4">
        <v>220</v>
      </c>
      <c r="H361" s="5" t="s">
        <v>13</v>
      </c>
      <c r="I361" s="3">
        <v>3521.33</v>
      </c>
      <c r="J361" s="3">
        <v>3521.33</v>
      </c>
      <c r="K361">
        <f t="shared" si="5"/>
        <v>3521.33</v>
      </c>
    </row>
    <row r="362" spans="1:11" x14ac:dyDescent="0.3">
      <c r="A362" s="5" t="s">
        <v>133</v>
      </c>
      <c r="B362" s="7">
        <v>44909</v>
      </c>
      <c r="C362" s="5" t="s">
        <v>11</v>
      </c>
      <c r="D362" s="5" t="s">
        <v>163</v>
      </c>
      <c r="E362" s="5" t="s">
        <v>160</v>
      </c>
      <c r="F362" s="7">
        <v>44909</v>
      </c>
      <c r="G362" s="4">
        <v>220</v>
      </c>
      <c r="H362" s="5" t="s">
        <v>13</v>
      </c>
      <c r="I362" s="3">
        <v>3516.87</v>
      </c>
      <c r="J362" s="3">
        <v>3516.87</v>
      </c>
      <c r="K362">
        <f t="shared" si="5"/>
        <v>3516.87</v>
      </c>
    </row>
    <row r="363" spans="1:11" x14ac:dyDescent="0.3">
      <c r="A363" s="5" t="s">
        <v>133</v>
      </c>
      <c r="B363" s="7">
        <v>44910</v>
      </c>
      <c r="C363" s="5" t="s">
        <v>11</v>
      </c>
      <c r="D363" s="5" t="s">
        <v>164</v>
      </c>
      <c r="E363" s="5" t="s">
        <v>140</v>
      </c>
      <c r="F363" s="7">
        <v>44910</v>
      </c>
      <c r="G363" s="4">
        <v>219</v>
      </c>
      <c r="H363" s="5" t="s">
        <v>13</v>
      </c>
      <c r="I363" s="3">
        <v>420.88</v>
      </c>
      <c r="J363" s="3">
        <v>420.88</v>
      </c>
      <c r="K363">
        <f t="shared" si="5"/>
        <v>420.88</v>
      </c>
    </row>
    <row r="364" spans="1:11" x14ac:dyDescent="0.3">
      <c r="A364" s="5" t="s">
        <v>133</v>
      </c>
      <c r="B364" s="7">
        <v>44910</v>
      </c>
      <c r="C364" s="5" t="s">
        <v>11</v>
      </c>
      <c r="D364" s="5" t="s">
        <v>165</v>
      </c>
      <c r="E364" s="5" t="s">
        <v>140</v>
      </c>
      <c r="F364" s="7">
        <v>44910</v>
      </c>
      <c r="G364" s="4">
        <v>219</v>
      </c>
      <c r="H364" s="5" t="s">
        <v>13</v>
      </c>
      <c r="I364" s="3">
        <v>420.88</v>
      </c>
      <c r="J364" s="3">
        <v>420.88</v>
      </c>
      <c r="K364">
        <f t="shared" si="5"/>
        <v>420.88</v>
      </c>
    </row>
    <row r="365" spans="1:11" x14ac:dyDescent="0.3">
      <c r="A365" s="5" t="s">
        <v>133</v>
      </c>
      <c r="B365" s="7">
        <v>44910</v>
      </c>
      <c r="C365" s="5" t="s">
        <v>11</v>
      </c>
      <c r="D365" s="5" t="s">
        <v>166</v>
      </c>
      <c r="E365" s="5" t="s">
        <v>140</v>
      </c>
      <c r="F365" s="7">
        <v>44910</v>
      </c>
      <c r="G365" s="4">
        <v>219</v>
      </c>
      <c r="H365" s="5" t="s">
        <v>13</v>
      </c>
      <c r="I365" s="3">
        <v>420.88</v>
      </c>
      <c r="J365" s="3">
        <v>420.88</v>
      </c>
      <c r="K365">
        <f t="shared" si="5"/>
        <v>420.88</v>
      </c>
    </row>
    <row r="366" spans="1:11" x14ac:dyDescent="0.3">
      <c r="A366" s="5" t="s">
        <v>133</v>
      </c>
      <c r="B366" s="7">
        <v>44910</v>
      </c>
      <c r="C366" s="5" t="s">
        <v>11</v>
      </c>
      <c r="D366" s="5" t="s">
        <v>167</v>
      </c>
      <c r="E366" s="5" t="s">
        <v>140</v>
      </c>
      <c r="F366" s="7">
        <v>44910</v>
      </c>
      <c r="G366" s="4">
        <v>219</v>
      </c>
      <c r="H366" s="5" t="s">
        <v>13</v>
      </c>
      <c r="I366" s="3">
        <v>420.88</v>
      </c>
      <c r="J366" s="3">
        <v>420.88</v>
      </c>
      <c r="K366">
        <f t="shared" si="5"/>
        <v>420.88</v>
      </c>
    </row>
    <row r="367" spans="1:11" x14ac:dyDescent="0.3">
      <c r="A367" s="5" t="s">
        <v>133</v>
      </c>
      <c r="B367" s="7">
        <v>44910</v>
      </c>
      <c r="C367" s="5" t="s">
        <v>11</v>
      </c>
      <c r="D367" s="5" t="s">
        <v>168</v>
      </c>
      <c r="E367" s="5" t="s">
        <v>140</v>
      </c>
      <c r="F367" s="7">
        <v>44910</v>
      </c>
      <c r="G367" s="4">
        <v>219</v>
      </c>
      <c r="H367" s="5" t="s">
        <v>13</v>
      </c>
      <c r="I367" s="3">
        <v>420.88</v>
      </c>
      <c r="J367" s="3">
        <v>420.88</v>
      </c>
      <c r="K367">
        <f t="shared" si="5"/>
        <v>420.88</v>
      </c>
    </row>
    <row r="368" spans="1:11" x14ac:dyDescent="0.3">
      <c r="A368" s="5" t="s">
        <v>133</v>
      </c>
      <c r="B368" s="7">
        <v>44910</v>
      </c>
      <c r="C368" s="5" t="s">
        <v>11</v>
      </c>
      <c r="D368" s="5" t="s">
        <v>169</v>
      </c>
      <c r="E368" s="5" t="s">
        <v>140</v>
      </c>
      <c r="F368" s="7">
        <v>44910</v>
      </c>
      <c r="G368" s="4">
        <v>219</v>
      </c>
      <c r="H368" s="5" t="s">
        <v>13</v>
      </c>
      <c r="I368" s="3">
        <v>420.88</v>
      </c>
      <c r="J368" s="3">
        <v>420.88</v>
      </c>
      <c r="K368">
        <f t="shared" si="5"/>
        <v>420.88</v>
      </c>
    </row>
    <row r="369" spans="1:11" x14ac:dyDescent="0.3">
      <c r="A369" s="5" t="s">
        <v>133</v>
      </c>
      <c r="B369" s="7">
        <v>44896</v>
      </c>
      <c r="C369" s="5" t="s">
        <v>11</v>
      </c>
      <c r="D369" s="5">
        <v>26155</v>
      </c>
      <c r="E369" s="5" t="s">
        <v>14</v>
      </c>
      <c r="F369" s="7">
        <v>44911</v>
      </c>
      <c r="G369" s="4">
        <v>218</v>
      </c>
      <c r="H369" s="5" t="s">
        <v>13</v>
      </c>
      <c r="I369" s="3">
        <v>300</v>
      </c>
      <c r="J369" s="3">
        <v>300</v>
      </c>
      <c r="K369">
        <f t="shared" si="5"/>
        <v>300</v>
      </c>
    </row>
    <row r="370" spans="1:11" x14ac:dyDescent="0.3">
      <c r="A370" s="5" t="s">
        <v>133</v>
      </c>
      <c r="B370" s="7">
        <v>44914</v>
      </c>
      <c r="C370" s="5" t="s">
        <v>11</v>
      </c>
      <c r="D370" s="5">
        <v>110902</v>
      </c>
      <c r="E370" s="5" t="s">
        <v>68</v>
      </c>
      <c r="F370" s="7">
        <v>44914</v>
      </c>
      <c r="G370" s="4">
        <v>215</v>
      </c>
      <c r="H370" s="5" t="s">
        <v>13</v>
      </c>
      <c r="I370" s="3">
        <v>4643</v>
      </c>
      <c r="J370" s="3">
        <v>4643</v>
      </c>
      <c r="K370">
        <f t="shared" si="5"/>
        <v>4643</v>
      </c>
    </row>
    <row r="371" spans="1:11" x14ac:dyDescent="0.3">
      <c r="A371" s="5" t="s">
        <v>133</v>
      </c>
      <c r="B371" s="7">
        <v>44914</v>
      </c>
      <c r="C371" s="5" t="s">
        <v>11</v>
      </c>
      <c r="D371" s="5">
        <v>36776854</v>
      </c>
      <c r="E371" s="5" t="s">
        <v>149</v>
      </c>
      <c r="F371" s="7">
        <v>44914</v>
      </c>
      <c r="G371" s="4">
        <v>215</v>
      </c>
      <c r="H371" s="5" t="s">
        <v>13</v>
      </c>
      <c r="I371" s="3">
        <v>2289.2600000000002</v>
      </c>
      <c r="J371" s="3">
        <v>2289.2600000000002</v>
      </c>
      <c r="K371">
        <f t="shared" si="5"/>
        <v>2289.2600000000002</v>
      </c>
    </row>
    <row r="372" spans="1:11" x14ac:dyDescent="0.3">
      <c r="A372" s="5" t="s">
        <v>133</v>
      </c>
      <c r="B372" s="7">
        <v>44914</v>
      </c>
      <c r="C372" s="5" t="s">
        <v>11</v>
      </c>
      <c r="D372" s="5">
        <v>36776830</v>
      </c>
      <c r="E372" s="5" t="s">
        <v>149</v>
      </c>
      <c r="F372" s="7">
        <v>44914</v>
      </c>
      <c r="G372" s="4">
        <v>215</v>
      </c>
      <c r="H372" s="5" t="s">
        <v>13</v>
      </c>
      <c r="I372" s="3">
        <v>822.5</v>
      </c>
      <c r="J372" s="3">
        <v>822.5</v>
      </c>
      <c r="K372">
        <f t="shared" si="5"/>
        <v>822.5</v>
      </c>
    </row>
    <row r="373" spans="1:11" x14ac:dyDescent="0.3">
      <c r="A373" s="5" t="s">
        <v>133</v>
      </c>
      <c r="B373" s="7">
        <v>44914</v>
      </c>
      <c r="C373" s="5" t="s">
        <v>11</v>
      </c>
      <c r="D373" s="5">
        <v>110903</v>
      </c>
      <c r="E373" s="5" t="s">
        <v>68</v>
      </c>
      <c r="F373" s="7">
        <v>44914</v>
      </c>
      <c r="G373" s="4">
        <v>215</v>
      </c>
      <c r="H373" s="5" t="s">
        <v>13</v>
      </c>
      <c r="I373" s="3">
        <v>250</v>
      </c>
      <c r="J373" s="3">
        <v>250</v>
      </c>
      <c r="K373">
        <f t="shared" si="5"/>
        <v>250</v>
      </c>
    </row>
    <row r="374" spans="1:11" x14ac:dyDescent="0.3">
      <c r="A374" s="5" t="s">
        <v>133</v>
      </c>
      <c r="B374" s="7">
        <v>44914</v>
      </c>
      <c r="C374" s="5" t="s">
        <v>11</v>
      </c>
      <c r="D374" s="5">
        <v>677170</v>
      </c>
      <c r="E374" s="5" t="s">
        <v>146</v>
      </c>
      <c r="F374" s="7">
        <v>44914</v>
      </c>
      <c r="G374" s="4">
        <v>215</v>
      </c>
      <c r="H374" s="5" t="s">
        <v>13</v>
      </c>
      <c r="I374" s="3">
        <v>250</v>
      </c>
      <c r="J374" s="3">
        <v>250</v>
      </c>
      <c r="K374">
        <f t="shared" si="5"/>
        <v>250</v>
      </c>
    </row>
    <row r="375" spans="1:11" x14ac:dyDescent="0.3">
      <c r="A375" s="5" t="s">
        <v>133</v>
      </c>
      <c r="B375" s="7">
        <v>44914</v>
      </c>
      <c r="C375" s="5" t="s">
        <v>11</v>
      </c>
      <c r="D375" s="5">
        <v>677171</v>
      </c>
      <c r="E375" s="5" t="s">
        <v>146</v>
      </c>
      <c r="F375" s="7">
        <v>44914</v>
      </c>
      <c r="G375" s="4">
        <v>215</v>
      </c>
      <c r="H375" s="5" t="s">
        <v>13</v>
      </c>
      <c r="I375" s="3">
        <v>250</v>
      </c>
      <c r="J375" s="3">
        <v>250</v>
      </c>
      <c r="K375">
        <f t="shared" si="5"/>
        <v>250</v>
      </c>
    </row>
    <row r="376" spans="1:11" x14ac:dyDescent="0.3">
      <c r="A376" s="5" t="s">
        <v>133</v>
      </c>
      <c r="B376" s="7">
        <v>44914</v>
      </c>
      <c r="C376" s="5" t="s">
        <v>11</v>
      </c>
      <c r="D376" s="5">
        <v>677172</v>
      </c>
      <c r="E376" s="5" t="s">
        <v>146</v>
      </c>
      <c r="F376" s="7">
        <v>44914</v>
      </c>
      <c r="G376" s="4">
        <v>215</v>
      </c>
      <c r="H376" s="5" t="s">
        <v>13</v>
      </c>
      <c r="I376" s="3">
        <v>250</v>
      </c>
      <c r="J376" s="3">
        <v>250</v>
      </c>
      <c r="K376">
        <f t="shared" si="5"/>
        <v>250</v>
      </c>
    </row>
    <row r="377" spans="1:11" x14ac:dyDescent="0.3">
      <c r="A377" s="5" t="s">
        <v>133</v>
      </c>
      <c r="B377" s="7">
        <v>44914</v>
      </c>
      <c r="C377" s="5" t="s">
        <v>11</v>
      </c>
      <c r="D377" s="5">
        <v>36776829</v>
      </c>
      <c r="E377" s="5" t="s">
        <v>149</v>
      </c>
      <c r="F377" s="7">
        <v>44914</v>
      </c>
      <c r="G377" s="4">
        <v>215</v>
      </c>
      <c r="H377" s="5" t="s">
        <v>13</v>
      </c>
      <c r="I377" s="3">
        <v>202</v>
      </c>
      <c r="J377" s="3">
        <v>202</v>
      </c>
      <c r="K377">
        <f t="shared" si="5"/>
        <v>202</v>
      </c>
    </row>
    <row r="378" spans="1:11" x14ac:dyDescent="0.3">
      <c r="A378" s="5" t="s">
        <v>133</v>
      </c>
      <c r="B378" s="7">
        <v>44914</v>
      </c>
      <c r="C378" s="5" t="s">
        <v>11</v>
      </c>
      <c r="D378" s="5">
        <v>677166</v>
      </c>
      <c r="E378" s="5" t="s">
        <v>146</v>
      </c>
      <c r="F378" s="7">
        <v>44914</v>
      </c>
      <c r="G378" s="4">
        <v>215</v>
      </c>
      <c r="H378" s="5" t="s">
        <v>13</v>
      </c>
      <c r="I378" s="3">
        <v>200</v>
      </c>
      <c r="J378" s="3">
        <v>200</v>
      </c>
      <c r="K378">
        <f t="shared" si="5"/>
        <v>200</v>
      </c>
    </row>
    <row r="379" spans="1:11" x14ac:dyDescent="0.3">
      <c r="A379" s="5" t="s">
        <v>133</v>
      </c>
      <c r="B379" s="7">
        <v>44914</v>
      </c>
      <c r="C379" s="5" t="s">
        <v>11</v>
      </c>
      <c r="D379" s="5">
        <v>677167</v>
      </c>
      <c r="E379" s="5" t="s">
        <v>146</v>
      </c>
      <c r="F379" s="7">
        <v>44914</v>
      </c>
      <c r="G379" s="4">
        <v>215</v>
      </c>
      <c r="H379" s="5" t="s">
        <v>13</v>
      </c>
      <c r="I379" s="3">
        <v>200</v>
      </c>
      <c r="J379" s="3">
        <v>200</v>
      </c>
      <c r="K379">
        <f t="shared" si="5"/>
        <v>200</v>
      </c>
    </row>
    <row r="380" spans="1:11" x14ac:dyDescent="0.3">
      <c r="A380" s="5" t="s">
        <v>133</v>
      </c>
      <c r="B380" s="7">
        <v>44914</v>
      </c>
      <c r="C380" s="5" t="s">
        <v>11</v>
      </c>
      <c r="D380" s="5">
        <v>677168</v>
      </c>
      <c r="E380" s="5" t="s">
        <v>146</v>
      </c>
      <c r="F380" s="7">
        <v>44914</v>
      </c>
      <c r="G380" s="4">
        <v>215</v>
      </c>
      <c r="H380" s="5" t="s">
        <v>13</v>
      </c>
      <c r="I380" s="3">
        <v>200</v>
      </c>
      <c r="J380" s="3">
        <v>200</v>
      </c>
      <c r="K380">
        <f t="shared" si="5"/>
        <v>200</v>
      </c>
    </row>
    <row r="381" spans="1:11" x14ac:dyDescent="0.3">
      <c r="A381" s="5" t="s">
        <v>133</v>
      </c>
      <c r="B381" s="7">
        <v>44914</v>
      </c>
      <c r="C381" s="5" t="s">
        <v>11</v>
      </c>
      <c r="D381" s="5">
        <v>677169</v>
      </c>
      <c r="E381" s="5" t="s">
        <v>146</v>
      </c>
      <c r="F381" s="7">
        <v>44914</v>
      </c>
      <c r="G381" s="4">
        <v>215</v>
      </c>
      <c r="H381" s="5" t="s">
        <v>13</v>
      </c>
      <c r="I381" s="3">
        <v>200</v>
      </c>
      <c r="J381" s="3">
        <v>200</v>
      </c>
      <c r="K381">
        <f t="shared" si="5"/>
        <v>200</v>
      </c>
    </row>
    <row r="382" spans="1:11" x14ac:dyDescent="0.3">
      <c r="A382" s="5" t="s">
        <v>133</v>
      </c>
      <c r="B382" s="7">
        <v>44914</v>
      </c>
      <c r="C382" s="5" t="s">
        <v>11</v>
      </c>
      <c r="D382" s="5">
        <v>36776831</v>
      </c>
      <c r="E382" s="5" t="s">
        <v>149</v>
      </c>
      <c r="F382" s="7">
        <v>44914</v>
      </c>
      <c r="G382" s="4">
        <v>215</v>
      </c>
      <c r="H382" s="5" t="s">
        <v>13</v>
      </c>
      <c r="I382" s="3">
        <v>166</v>
      </c>
      <c r="J382" s="3">
        <v>166</v>
      </c>
      <c r="K382">
        <f t="shared" si="5"/>
        <v>166</v>
      </c>
    </row>
    <row r="383" spans="1:11" x14ac:dyDescent="0.3">
      <c r="A383" s="5" t="s">
        <v>133</v>
      </c>
      <c r="B383" s="7">
        <v>44915</v>
      </c>
      <c r="C383" s="5" t="s">
        <v>11</v>
      </c>
      <c r="D383" s="5">
        <v>629625</v>
      </c>
      <c r="E383" s="5" t="s">
        <v>137</v>
      </c>
      <c r="F383" s="7">
        <v>44915</v>
      </c>
      <c r="G383" s="4">
        <v>214</v>
      </c>
      <c r="H383" s="5" t="s">
        <v>13</v>
      </c>
      <c r="I383" s="3">
        <v>950</v>
      </c>
      <c r="J383" s="3">
        <v>950</v>
      </c>
      <c r="K383">
        <f t="shared" si="5"/>
        <v>950</v>
      </c>
    </row>
    <row r="384" spans="1:11" x14ac:dyDescent="0.3">
      <c r="A384" s="5" t="s">
        <v>133</v>
      </c>
      <c r="B384" s="7">
        <v>44915</v>
      </c>
      <c r="C384" s="5" t="s">
        <v>11</v>
      </c>
      <c r="D384" s="5" t="s">
        <v>170</v>
      </c>
      <c r="E384" s="5" t="s">
        <v>140</v>
      </c>
      <c r="F384" s="7">
        <v>44915</v>
      </c>
      <c r="G384" s="4">
        <v>214</v>
      </c>
      <c r="H384" s="5" t="s">
        <v>13</v>
      </c>
      <c r="I384" s="3">
        <v>650</v>
      </c>
      <c r="J384" s="3">
        <v>650</v>
      </c>
      <c r="K384">
        <f t="shared" si="5"/>
        <v>650</v>
      </c>
    </row>
    <row r="385" spans="1:11" x14ac:dyDescent="0.3">
      <c r="A385" s="5" t="s">
        <v>133</v>
      </c>
      <c r="B385" s="7">
        <v>44917</v>
      </c>
      <c r="C385" s="5" t="s">
        <v>11</v>
      </c>
      <c r="D385" s="5">
        <v>36765081</v>
      </c>
      <c r="E385" s="5" t="s">
        <v>149</v>
      </c>
      <c r="F385" s="7">
        <v>44917</v>
      </c>
      <c r="G385" s="4">
        <v>212</v>
      </c>
      <c r="H385" s="5" t="s">
        <v>13</v>
      </c>
      <c r="I385" s="3">
        <v>3608</v>
      </c>
      <c r="J385" s="3">
        <v>3608</v>
      </c>
      <c r="K385">
        <f t="shared" si="5"/>
        <v>3608</v>
      </c>
    </row>
    <row r="386" spans="1:11" x14ac:dyDescent="0.3">
      <c r="A386" s="5" t="s">
        <v>133</v>
      </c>
      <c r="B386" s="7">
        <v>44917</v>
      </c>
      <c r="C386" s="5" t="s">
        <v>11</v>
      </c>
      <c r="D386" s="5">
        <v>36778441</v>
      </c>
      <c r="E386" s="5" t="s">
        <v>149</v>
      </c>
      <c r="F386" s="7">
        <v>44917</v>
      </c>
      <c r="G386" s="4">
        <v>212</v>
      </c>
      <c r="H386" s="5" t="s">
        <v>13</v>
      </c>
      <c r="I386" s="3">
        <v>1679</v>
      </c>
      <c r="J386" s="3">
        <v>1679</v>
      </c>
      <c r="K386">
        <f t="shared" si="5"/>
        <v>1679</v>
      </c>
    </row>
    <row r="387" spans="1:11" x14ac:dyDescent="0.3">
      <c r="A387" s="5" t="s">
        <v>133</v>
      </c>
      <c r="B387" s="7">
        <v>44917</v>
      </c>
      <c r="C387" s="5" t="s">
        <v>11</v>
      </c>
      <c r="D387" s="5">
        <v>36778440</v>
      </c>
      <c r="E387" s="5" t="s">
        <v>149</v>
      </c>
      <c r="F387" s="7">
        <v>44917</v>
      </c>
      <c r="G387" s="4">
        <v>212</v>
      </c>
      <c r="H387" s="5" t="s">
        <v>13</v>
      </c>
      <c r="I387" s="3">
        <v>1679</v>
      </c>
      <c r="J387" s="3">
        <v>1679</v>
      </c>
      <c r="K387">
        <f t="shared" si="5"/>
        <v>1679</v>
      </c>
    </row>
    <row r="388" spans="1:11" x14ac:dyDescent="0.3">
      <c r="A388" s="5" t="s">
        <v>133</v>
      </c>
      <c r="B388" s="7">
        <v>44917</v>
      </c>
      <c r="C388" s="5" t="s">
        <v>11</v>
      </c>
      <c r="D388" s="5">
        <v>36778439</v>
      </c>
      <c r="E388" s="5" t="s">
        <v>149</v>
      </c>
      <c r="F388" s="7">
        <v>44917</v>
      </c>
      <c r="G388" s="4">
        <v>212</v>
      </c>
      <c r="H388" s="5" t="s">
        <v>13</v>
      </c>
      <c r="I388" s="3">
        <v>1511.25</v>
      </c>
      <c r="J388" s="3">
        <v>1511.25</v>
      </c>
      <c r="K388">
        <f t="shared" ref="K388:K451" si="6">IF(H388="91+ days",J388,0)</f>
        <v>1511.25</v>
      </c>
    </row>
    <row r="389" spans="1:11" x14ac:dyDescent="0.3">
      <c r="A389" s="5" t="s">
        <v>133</v>
      </c>
      <c r="B389" s="7">
        <v>44917</v>
      </c>
      <c r="C389" s="5" t="s">
        <v>11</v>
      </c>
      <c r="D389" s="5" t="s">
        <v>171</v>
      </c>
      <c r="E389" s="5" t="s">
        <v>140</v>
      </c>
      <c r="F389" s="7">
        <v>44917</v>
      </c>
      <c r="G389" s="4">
        <v>212</v>
      </c>
      <c r="H389" s="5" t="s">
        <v>13</v>
      </c>
      <c r="I389" s="3">
        <v>650</v>
      </c>
      <c r="J389" s="3">
        <v>650</v>
      </c>
      <c r="K389">
        <f t="shared" si="6"/>
        <v>650</v>
      </c>
    </row>
    <row r="390" spans="1:11" x14ac:dyDescent="0.3">
      <c r="A390" s="5" t="s">
        <v>133</v>
      </c>
      <c r="B390" s="7">
        <v>44917</v>
      </c>
      <c r="C390" s="5" t="s">
        <v>11</v>
      </c>
      <c r="D390" s="5">
        <v>36778437</v>
      </c>
      <c r="E390" s="5" t="s">
        <v>149</v>
      </c>
      <c r="F390" s="7">
        <v>44917</v>
      </c>
      <c r="G390" s="4">
        <v>212</v>
      </c>
      <c r="H390" s="5" t="s">
        <v>13</v>
      </c>
      <c r="I390" s="3">
        <v>645.98</v>
      </c>
      <c r="J390" s="3">
        <v>645.98</v>
      </c>
      <c r="K390">
        <f t="shared" si="6"/>
        <v>645.98</v>
      </c>
    </row>
    <row r="391" spans="1:11" x14ac:dyDescent="0.3">
      <c r="A391" s="5" t="s">
        <v>133</v>
      </c>
      <c r="B391" s="7">
        <v>44917</v>
      </c>
      <c r="C391" s="5" t="s">
        <v>11</v>
      </c>
      <c r="D391" s="5">
        <v>36782250</v>
      </c>
      <c r="E391" s="5" t="s">
        <v>149</v>
      </c>
      <c r="F391" s="7">
        <v>44917</v>
      </c>
      <c r="G391" s="4">
        <v>212</v>
      </c>
      <c r="H391" s="5" t="s">
        <v>13</v>
      </c>
      <c r="I391" s="3">
        <v>459.68</v>
      </c>
      <c r="J391" s="3">
        <v>459.68</v>
      </c>
      <c r="K391">
        <f t="shared" si="6"/>
        <v>459.68</v>
      </c>
    </row>
    <row r="392" spans="1:11" x14ac:dyDescent="0.3">
      <c r="A392" s="5" t="s">
        <v>133</v>
      </c>
      <c r="B392" s="7">
        <v>44888</v>
      </c>
      <c r="C392" s="5" t="s">
        <v>11</v>
      </c>
      <c r="D392" s="5">
        <v>10157556</v>
      </c>
      <c r="E392" s="5" t="s">
        <v>157</v>
      </c>
      <c r="F392" s="7">
        <v>44918</v>
      </c>
      <c r="G392" s="4">
        <v>211</v>
      </c>
      <c r="H392" s="5" t="s">
        <v>13</v>
      </c>
      <c r="I392" s="3">
        <v>345</v>
      </c>
      <c r="J392" s="3">
        <v>345</v>
      </c>
      <c r="K392">
        <f t="shared" si="6"/>
        <v>345</v>
      </c>
    </row>
    <row r="393" spans="1:11" x14ac:dyDescent="0.3">
      <c r="A393" s="5" t="s">
        <v>133</v>
      </c>
      <c r="B393" s="7">
        <v>44888</v>
      </c>
      <c r="C393" s="5" t="s">
        <v>11</v>
      </c>
      <c r="D393" s="5">
        <v>10157558</v>
      </c>
      <c r="E393" s="5" t="s">
        <v>157</v>
      </c>
      <c r="F393" s="7">
        <v>44918</v>
      </c>
      <c r="G393" s="4">
        <v>211</v>
      </c>
      <c r="H393" s="5" t="s">
        <v>13</v>
      </c>
      <c r="I393" s="3">
        <v>345</v>
      </c>
      <c r="J393" s="3">
        <v>345</v>
      </c>
      <c r="K393">
        <f t="shared" si="6"/>
        <v>345</v>
      </c>
    </row>
    <row r="394" spans="1:11" x14ac:dyDescent="0.3">
      <c r="A394" s="5" t="s">
        <v>133</v>
      </c>
      <c r="B394" s="7">
        <v>44888</v>
      </c>
      <c r="C394" s="5" t="s">
        <v>11</v>
      </c>
      <c r="D394" s="5">
        <v>10157640</v>
      </c>
      <c r="E394" s="5" t="s">
        <v>157</v>
      </c>
      <c r="F394" s="7">
        <v>44918</v>
      </c>
      <c r="G394" s="4">
        <v>211</v>
      </c>
      <c r="H394" s="5" t="s">
        <v>13</v>
      </c>
      <c r="I394" s="3">
        <v>345</v>
      </c>
      <c r="J394" s="3">
        <v>345</v>
      </c>
      <c r="K394">
        <f t="shared" si="6"/>
        <v>345</v>
      </c>
    </row>
    <row r="395" spans="1:11" x14ac:dyDescent="0.3">
      <c r="A395" s="5" t="s">
        <v>133</v>
      </c>
      <c r="B395" s="7">
        <v>44918</v>
      </c>
      <c r="C395" s="5" t="s">
        <v>11</v>
      </c>
      <c r="D395" s="5">
        <v>111225</v>
      </c>
      <c r="E395" s="5" t="s">
        <v>68</v>
      </c>
      <c r="F395" s="7">
        <v>44918</v>
      </c>
      <c r="G395" s="4">
        <v>211</v>
      </c>
      <c r="H395" s="5" t="s">
        <v>13</v>
      </c>
      <c r="I395" s="3">
        <v>500</v>
      </c>
      <c r="J395" s="3">
        <v>500</v>
      </c>
      <c r="K395">
        <f t="shared" si="6"/>
        <v>500</v>
      </c>
    </row>
    <row r="396" spans="1:11" x14ac:dyDescent="0.3">
      <c r="A396" s="5" t="s">
        <v>133</v>
      </c>
      <c r="B396" s="7">
        <v>44893</v>
      </c>
      <c r="C396" s="5" t="s">
        <v>11</v>
      </c>
      <c r="D396" s="5">
        <v>10159801</v>
      </c>
      <c r="E396" s="5" t="s">
        <v>157</v>
      </c>
      <c r="F396" s="7">
        <v>44923</v>
      </c>
      <c r="G396" s="4">
        <v>206</v>
      </c>
      <c r="H396" s="5" t="s">
        <v>13</v>
      </c>
      <c r="I396" s="3">
        <v>345</v>
      </c>
      <c r="J396" s="3">
        <v>345</v>
      </c>
      <c r="K396">
        <f t="shared" si="6"/>
        <v>345</v>
      </c>
    </row>
    <row r="397" spans="1:11" x14ac:dyDescent="0.3">
      <c r="A397" s="5" t="s">
        <v>133</v>
      </c>
      <c r="B397" s="7">
        <v>44923</v>
      </c>
      <c r="C397" s="5" t="s">
        <v>11</v>
      </c>
      <c r="D397" s="5">
        <v>111420</v>
      </c>
      <c r="E397" s="5" t="s">
        <v>68</v>
      </c>
      <c r="F397" s="7">
        <v>44923</v>
      </c>
      <c r="G397" s="4">
        <v>206</v>
      </c>
      <c r="H397" s="5" t="s">
        <v>13</v>
      </c>
      <c r="I397" s="3">
        <v>300</v>
      </c>
      <c r="J397" s="3">
        <v>300</v>
      </c>
      <c r="K397">
        <f t="shared" si="6"/>
        <v>300</v>
      </c>
    </row>
    <row r="398" spans="1:11" x14ac:dyDescent="0.3">
      <c r="A398" s="5" t="s">
        <v>133</v>
      </c>
      <c r="B398" s="7">
        <v>44923</v>
      </c>
      <c r="C398" s="5" t="s">
        <v>11</v>
      </c>
      <c r="D398" s="5">
        <v>111421</v>
      </c>
      <c r="E398" s="5" t="s">
        <v>68</v>
      </c>
      <c r="F398" s="7">
        <v>44923</v>
      </c>
      <c r="G398" s="4">
        <v>206</v>
      </c>
      <c r="H398" s="5" t="s">
        <v>13</v>
      </c>
      <c r="I398" s="3">
        <v>300</v>
      </c>
      <c r="J398" s="3">
        <v>300</v>
      </c>
      <c r="K398">
        <f t="shared" si="6"/>
        <v>300</v>
      </c>
    </row>
    <row r="399" spans="1:11" x14ac:dyDescent="0.3">
      <c r="A399" s="5" t="s">
        <v>133</v>
      </c>
      <c r="B399" s="7">
        <v>44923</v>
      </c>
      <c r="C399" s="5" t="s">
        <v>11</v>
      </c>
      <c r="D399" s="5">
        <v>111422</v>
      </c>
      <c r="E399" s="5" t="s">
        <v>68</v>
      </c>
      <c r="F399" s="7">
        <v>44923</v>
      </c>
      <c r="G399" s="4">
        <v>206</v>
      </c>
      <c r="H399" s="5" t="s">
        <v>13</v>
      </c>
      <c r="I399" s="3">
        <v>300</v>
      </c>
      <c r="J399" s="3">
        <v>300</v>
      </c>
      <c r="K399">
        <f t="shared" si="6"/>
        <v>300</v>
      </c>
    </row>
    <row r="400" spans="1:11" x14ac:dyDescent="0.3">
      <c r="A400" s="5" t="s">
        <v>133</v>
      </c>
      <c r="B400" s="7">
        <v>44923</v>
      </c>
      <c r="C400" s="5" t="s">
        <v>11</v>
      </c>
      <c r="D400" s="5">
        <v>111423</v>
      </c>
      <c r="E400" s="5" t="s">
        <v>68</v>
      </c>
      <c r="F400" s="7">
        <v>44923</v>
      </c>
      <c r="G400" s="4">
        <v>206</v>
      </c>
      <c r="H400" s="5" t="s">
        <v>13</v>
      </c>
      <c r="I400" s="3">
        <v>300</v>
      </c>
      <c r="J400" s="3">
        <v>300</v>
      </c>
      <c r="K400">
        <f t="shared" si="6"/>
        <v>300</v>
      </c>
    </row>
    <row r="401" spans="1:11" x14ac:dyDescent="0.3">
      <c r="A401" s="5" t="s">
        <v>133</v>
      </c>
      <c r="B401" s="7">
        <v>44924</v>
      </c>
      <c r="C401" s="5" t="s">
        <v>11</v>
      </c>
      <c r="D401" s="5">
        <v>36780992</v>
      </c>
      <c r="E401" s="5" t="s">
        <v>149</v>
      </c>
      <c r="F401" s="7">
        <v>44924</v>
      </c>
      <c r="G401" s="4">
        <v>205</v>
      </c>
      <c r="H401" s="5" t="s">
        <v>13</v>
      </c>
      <c r="I401" s="3">
        <v>2800</v>
      </c>
      <c r="J401" s="3">
        <v>2800</v>
      </c>
      <c r="K401">
        <f t="shared" si="6"/>
        <v>2800</v>
      </c>
    </row>
    <row r="402" spans="1:11" x14ac:dyDescent="0.3">
      <c r="A402" s="5" t="s">
        <v>133</v>
      </c>
      <c r="B402" s="7">
        <v>44924</v>
      </c>
      <c r="C402" s="5" t="s">
        <v>11</v>
      </c>
      <c r="D402" s="5">
        <v>36781500</v>
      </c>
      <c r="E402" s="5" t="s">
        <v>149</v>
      </c>
      <c r="F402" s="7">
        <v>44924</v>
      </c>
      <c r="G402" s="4">
        <v>205</v>
      </c>
      <c r="H402" s="5" t="s">
        <v>13</v>
      </c>
      <c r="I402" s="3">
        <v>459.68</v>
      </c>
      <c r="J402" s="3">
        <v>459.68</v>
      </c>
      <c r="K402">
        <f t="shared" si="6"/>
        <v>459.68</v>
      </c>
    </row>
    <row r="403" spans="1:11" x14ac:dyDescent="0.3">
      <c r="A403" s="5" t="s">
        <v>133</v>
      </c>
      <c r="B403" s="7">
        <v>44924</v>
      </c>
      <c r="C403" s="5" t="s">
        <v>11</v>
      </c>
      <c r="D403" s="5">
        <v>36781499</v>
      </c>
      <c r="E403" s="5" t="s">
        <v>149</v>
      </c>
      <c r="F403" s="7">
        <v>44924</v>
      </c>
      <c r="G403" s="4">
        <v>205</v>
      </c>
      <c r="H403" s="5" t="s">
        <v>13</v>
      </c>
      <c r="I403" s="3">
        <v>459.68</v>
      </c>
      <c r="J403" s="3">
        <v>459.68</v>
      </c>
      <c r="K403">
        <f t="shared" si="6"/>
        <v>459.68</v>
      </c>
    </row>
    <row r="404" spans="1:11" x14ac:dyDescent="0.3">
      <c r="A404" s="5" t="s">
        <v>133</v>
      </c>
      <c r="B404" s="7">
        <v>44925</v>
      </c>
      <c r="C404" s="5" t="s">
        <v>11</v>
      </c>
      <c r="D404" s="5">
        <v>108341</v>
      </c>
      <c r="E404" s="5" t="s">
        <v>68</v>
      </c>
      <c r="F404" s="7">
        <v>44925</v>
      </c>
      <c r="G404" s="4">
        <v>204</v>
      </c>
      <c r="H404" s="5" t="s">
        <v>13</v>
      </c>
      <c r="I404" s="3">
        <v>3936.8</v>
      </c>
      <c r="J404" s="3">
        <v>3936.8</v>
      </c>
      <c r="K404">
        <f t="shared" si="6"/>
        <v>3936.8</v>
      </c>
    </row>
    <row r="405" spans="1:11" x14ac:dyDescent="0.3">
      <c r="A405" s="5" t="s">
        <v>133</v>
      </c>
      <c r="B405" s="7">
        <v>44925</v>
      </c>
      <c r="C405" s="5" t="s">
        <v>11</v>
      </c>
      <c r="D405" s="5">
        <v>108342</v>
      </c>
      <c r="E405" s="5" t="s">
        <v>68</v>
      </c>
      <c r="F405" s="7">
        <v>44925</v>
      </c>
      <c r="G405" s="4">
        <v>204</v>
      </c>
      <c r="H405" s="5" t="s">
        <v>13</v>
      </c>
      <c r="I405" s="3">
        <v>250</v>
      </c>
      <c r="J405" s="3">
        <v>250</v>
      </c>
      <c r="K405">
        <f t="shared" si="6"/>
        <v>250</v>
      </c>
    </row>
    <row r="406" spans="1:11" x14ac:dyDescent="0.3">
      <c r="A406" s="5" t="s">
        <v>133</v>
      </c>
      <c r="B406" s="7">
        <v>44896</v>
      </c>
      <c r="C406" s="5" t="s">
        <v>11</v>
      </c>
      <c r="D406" s="5" t="s">
        <v>172</v>
      </c>
      <c r="E406" s="5" t="s">
        <v>173</v>
      </c>
      <c r="F406" s="7">
        <v>44926</v>
      </c>
      <c r="G406" s="4">
        <v>203</v>
      </c>
      <c r="H406" s="5" t="s">
        <v>13</v>
      </c>
      <c r="I406" s="3">
        <v>206</v>
      </c>
      <c r="J406" s="3">
        <v>206</v>
      </c>
      <c r="K406">
        <f t="shared" si="6"/>
        <v>206</v>
      </c>
    </row>
    <row r="407" spans="1:11" x14ac:dyDescent="0.3">
      <c r="A407" s="5" t="s">
        <v>133</v>
      </c>
      <c r="B407" s="7">
        <v>44926</v>
      </c>
      <c r="C407" s="5" t="s">
        <v>83</v>
      </c>
      <c r="D407" s="5" t="s">
        <v>174</v>
      </c>
      <c r="E407" s="5" t="s">
        <v>175</v>
      </c>
      <c r="F407" s="7">
        <v>44926</v>
      </c>
      <c r="G407" s="4">
        <v>203</v>
      </c>
      <c r="H407" s="5" t="s">
        <v>13</v>
      </c>
      <c r="I407" s="3">
        <v>617438.82999999996</v>
      </c>
      <c r="J407" s="3">
        <v>617438.82999999996</v>
      </c>
      <c r="K407">
        <f t="shared" si="6"/>
        <v>617438.82999999996</v>
      </c>
    </row>
    <row r="408" spans="1:11" x14ac:dyDescent="0.3">
      <c r="A408" s="5" t="s">
        <v>133</v>
      </c>
      <c r="B408" s="7">
        <v>44927</v>
      </c>
      <c r="C408" s="5" t="s">
        <v>11</v>
      </c>
      <c r="D408" s="5">
        <v>26286</v>
      </c>
      <c r="E408" s="5" t="s">
        <v>14</v>
      </c>
      <c r="F408" s="7">
        <v>44927</v>
      </c>
      <c r="G408" s="4">
        <v>202</v>
      </c>
      <c r="H408" s="5" t="s">
        <v>13</v>
      </c>
      <c r="I408" s="3">
        <v>300</v>
      </c>
      <c r="J408" s="3">
        <v>300</v>
      </c>
      <c r="K408">
        <f t="shared" si="6"/>
        <v>300</v>
      </c>
    </row>
    <row r="409" spans="1:11" x14ac:dyDescent="0.3">
      <c r="A409" s="5" t="s">
        <v>133</v>
      </c>
      <c r="B409" s="7">
        <v>44929</v>
      </c>
      <c r="C409" s="5" t="s">
        <v>11</v>
      </c>
      <c r="D409" s="5">
        <v>9645</v>
      </c>
      <c r="E409" s="5" t="s">
        <v>97</v>
      </c>
      <c r="F409" s="7">
        <v>44929</v>
      </c>
      <c r="G409" s="4">
        <v>200</v>
      </c>
      <c r="H409" s="5" t="s">
        <v>13</v>
      </c>
      <c r="I409" s="3">
        <v>5114.8100000000004</v>
      </c>
      <c r="J409" s="3">
        <v>5114.8100000000004</v>
      </c>
      <c r="K409">
        <f t="shared" si="6"/>
        <v>5114.8100000000004</v>
      </c>
    </row>
    <row r="410" spans="1:11" x14ac:dyDescent="0.3">
      <c r="A410" s="5" t="s">
        <v>133</v>
      </c>
      <c r="B410" s="7">
        <v>44943</v>
      </c>
      <c r="C410" s="5" t="s">
        <v>11</v>
      </c>
      <c r="D410" s="5">
        <v>682539</v>
      </c>
      <c r="E410" s="5" t="s">
        <v>146</v>
      </c>
      <c r="F410" s="7">
        <v>44943</v>
      </c>
      <c r="G410" s="4">
        <v>186</v>
      </c>
      <c r="H410" s="5" t="s">
        <v>13</v>
      </c>
      <c r="I410" s="3">
        <v>1250.9000000000001</v>
      </c>
      <c r="J410" s="3">
        <v>1250.9000000000001</v>
      </c>
      <c r="K410">
        <f t="shared" si="6"/>
        <v>1250.9000000000001</v>
      </c>
    </row>
    <row r="411" spans="1:11" x14ac:dyDescent="0.3">
      <c r="A411" s="5" t="s">
        <v>133</v>
      </c>
      <c r="B411" s="7">
        <v>44943</v>
      </c>
      <c r="C411" s="5" t="s">
        <v>11</v>
      </c>
      <c r="D411" s="5">
        <v>682541</v>
      </c>
      <c r="E411" s="5" t="s">
        <v>146</v>
      </c>
      <c r="F411" s="7">
        <v>44943</v>
      </c>
      <c r="G411" s="4">
        <v>186</v>
      </c>
      <c r="H411" s="5" t="s">
        <v>13</v>
      </c>
      <c r="I411" s="3">
        <v>1250.9000000000001</v>
      </c>
      <c r="J411" s="3">
        <v>1250.9000000000001</v>
      </c>
      <c r="K411">
        <f t="shared" si="6"/>
        <v>1250.9000000000001</v>
      </c>
    </row>
    <row r="412" spans="1:11" x14ac:dyDescent="0.3">
      <c r="A412" s="5" t="s">
        <v>133</v>
      </c>
      <c r="B412" s="7">
        <v>44943</v>
      </c>
      <c r="C412" s="5" t="s">
        <v>11</v>
      </c>
      <c r="D412" s="5">
        <v>682543</v>
      </c>
      <c r="E412" s="5" t="s">
        <v>146</v>
      </c>
      <c r="F412" s="7">
        <v>44943</v>
      </c>
      <c r="G412" s="4">
        <v>186</v>
      </c>
      <c r="H412" s="5" t="s">
        <v>13</v>
      </c>
      <c r="I412" s="3">
        <v>1250.9000000000001</v>
      </c>
      <c r="J412" s="3">
        <v>1250.9000000000001</v>
      </c>
      <c r="K412">
        <f t="shared" si="6"/>
        <v>1250.9000000000001</v>
      </c>
    </row>
    <row r="413" spans="1:11" x14ac:dyDescent="0.3">
      <c r="A413" s="5" t="s">
        <v>133</v>
      </c>
      <c r="B413" s="7">
        <v>44943</v>
      </c>
      <c r="C413" s="5" t="s">
        <v>11</v>
      </c>
      <c r="D413" s="5">
        <v>682544</v>
      </c>
      <c r="E413" s="5" t="s">
        <v>146</v>
      </c>
      <c r="F413" s="7">
        <v>44943</v>
      </c>
      <c r="G413" s="4">
        <v>186</v>
      </c>
      <c r="H413" s="5" t="s">
        <v>13</v>
      </c>
      <c r="I413" s="3">
        <v>1250.9000000000001</v>
      </c>
      <c r="J413" s="3">
        <v>1250.9000000000001</v>
      </c>
      <c r="K413">
        <f t="shared" si="6"/>
        <v>1250.9000000000001</v>
      </c>
    </row>
    <row r="414" spans="1:11" x14ac:dyDescent="0.3">
      <c r="A414" s="5" t="s">
        <v>133</v>
      </c>
      <c r="B414" s="7">
        <v>44944</v>
      </c>
      <c r="C414" s="5" t="s">
        <v>11</v>
      </c>
      <c r="D414" s="5">
        <v>683035</v>
      </c>
      <c r="E414" s="5" t="s">
        <v>146</v>
      </c>
      <c r="F414" s="7">
        <v>44944</v>
      </c>
      <c r="G414" s="4">
        <v>185</v>
      </c>
      <c r="H414" s="5" t="s">
        <v>13</v>
      </c>
      <c r="I414" s="3">
        <v>250</v>
      </c>
      <c r="J414" s="3">
        <v>250</v>
      </c>
      <c r="K414">
        <f t="shared" si="6"/>
        <v>250</v>
      </c>
    </row>
    <row r="415" spans="1:11" x14ac:dyDescent="0.3">
      <c r="A415" s="5" t="s">
        <v>133</v>
      </c>
      <c r="B415" s="7">
        <v>44944</v>
      </c>
      <c r="C415" s="5" t="s">
        <v>11</v>
      </c>
      <c r="D415" s="5">
        <v>88215</v>
      </c>
      <c r="E415" s="5" t="s">
        <v>176</v>
      </c>
      <c r="F415" s="7">
        <v>44944</v>
      </c>
      <c r="G415" s="4">
        <v>185</v>
      </c>
      <c r="H415" s="5" t="s">
        <v>13</v>
      </c>
      <c r="I415" s="3">
        <v>162.38</v>
      </c>
      <c r="J415" s="3">
        <v>162.38</v>
      </c>
      <c r="K415">
        <f t="shared" si="6"/>
        <v>162.38</v>
      </c>
    </row>
    <row r="416" spans="1:11" x14ac:dyDescent="0.3">
      <c r="A416" s="5" t="s">
        <v>133</v>
      </c>
      <c r="B416" s="7">
        <v>44956</v>
      </c>
      <c r="C416" s="5" t="s">
        <v>11</v>
      </c>
      <c r="D416" s="5">
        <v>685226</v>
      </c>
      <c r="E416" s="5" t="s">
        <v>146</v>
      </c>
      <c r="F416" s="7">
        <v>44956</v>
      </c>
      <c r="G416" s="4">
        <v>173</v>
      </c>
      <c r="H416" s="5" t="s">
        <v>13</v>
      </c>
      <c r="I416" s="3">
        <v>800</v>
      </c>
      <c r="J416" s="3">
        <v>800</v>
      </c>
      <c r="K416">
        <f t="shared" si="6"/>
        <v>800</v>
      </c>
    </row>
    <row r="417" spans="1:11" x14ac:dyDescent="0.3">
      <c r="A417" s="5" t="s">
        <v>133</v>
      </c>
      <c r="B417" s="7">
        <v>44956</v>
      </c>
      <c r="C417" s="5" t="s">
        <v>11</v>
      </c>
      <c r="D417" s="5">
        <v>685227</v>
      </c>
      <c r="E417" s="5" t="s">
        <v>146</v>
      </c>
      <c r="F417" s="7">
        <v>44956</v>
      </c>
      <c r="G417" s="4">
        <v>173</v>
      </c>
      <c r="H417" s="5" t="s">
        <v>13</v>
      </c>
      <c r="I417" s="3">
        <v>800</v>
      </c>
      <c r="J417" s="3">
        <v>800</v>
      </c>
      <c r="K417">
        <f t="shared" si="6"/>
        <v>800</v>
      </c>
    </row>
    <row r="418" spans="1:11" x14ac:dyDescent="0.3">
      <c r="A418" s="5" t="s">
        <v>133</v>
      </c>
      <c r="B418" s="7">
        <v>44956</v>
      </c>
      <c r="C418" s="5" t="s">
        <v>11</v>
      </c>
      <c r="D418" s="5">
        <v>685228</v>
      </c>
      <c r="E418" s="5" t="s">
        <v>146</v>
      </c>
      <c r="F418" s="7">
        <v>44956</v>
      </c>
      <c r="G418" s="4">
        <v>173</v>
      </c>
      <c r="H418" s="5" t="s">
        <v>13</v>
      </c>
      <c r="I418" s="3">
        <v>800</v>
      </c>
      <c r="J418" s="3">
        <v>800</v>
      </c>
      <c r="K418">
        <f t="shared" si="6"/>
        <v>800</v>
      </c>
    </row>
    <row r="419" spans="1:11" x14ac:dyDescent="0.3">
      <c r="A419" s="5" t="s">
        <v>133</v>
      </c>
      <c r="B419" s="7">
        <v>44956</v>
      </c>
      <c r="C419" s="5" t="s">
        <v>11</v>
      </c>
      <c r="D419" s="5">
        <v>685230</v>
      </c>
      <c r="E419" s="5" t="s">
        <v>146</v>
      </c>
      <c r="F419" s="7">
        <v>44956</v>
      </c>
      <c r="G419" s="4">
        <v>173</v>
      </c>
      <c r="H419" s="5" t="s">
        <v>13</v>
      </c>
      <c r="I419" s="3">
        <v>800</v>
      </c>
      <c r="J419" s="3">
        <v>800</v>
      </c>
      <c r="K419">
        <f t="shared" si="6"/>
        <v>800</v>
      </c>
    </row>
    <row r="420" spans="1:11" x14ac:dyDescent="0.3">
      <c r="A420" s="5" t="s">
        <v>133</v>
      </c>
      <c r="B420" s="7">
        <v>44805</v>
      </c>
      <c r="C420" s="5" t="s">
        <v>11</v>
      </c>
      <c r="D420" s="5">
        <v>7253</v>
      </c>
      <c r="E420" s="5" t="s">
        <v>138</v>
      </c>
      <c r="F420" s="7">
        <v>44966</v>
      </c>
      <c r="G420" s="4">
        <v>163</v>
      </c>
      <c r="H420" s="5" t="s">
        <v>13</v>
      </c>
      <c r="I420" s="3">
        <v>499</v>
      </c>
      <c r="J420" s="3">
        <v>499</v>
      </c>
      <c r="K420">
        <f t="shared" si="6"/>
        <v>499</v>
      </c>
    </row>
    <row r="421" spans="1:11" x14ac:dyDescent="0.3">
      <c r="A421" s="5" t="s">
        <v>133</v>
      </c>
      <c r="B421" s="7">
        <v>44834</v>
      </c>
      <c r="C421" s="5" t="s">
        <v>11</v>
      </c>
      <c r="D421" s="5">
        <v>7254</v>
      </c>
      <c r="E421" s="5" t="s">
        <v>138</v>
      </c>
      <c r="F421" s="7">
        <v>44966</v>
      </c>
      <c r="G421" s="4">
        <v>163</v>
      </c>
      <c r="H421" s="5" t="s">
        <v>13</v>
      </c>
      <c r="I421" s="3">
        <v>598.65</v>
      </c>
      <c r="J421" s="3">
        <v>598.65</v>
      </c>
      <c r="K421">
        <f t="shared" si="6"/>
        <v>598.65</v>
      </c>
    </row>
    <row r="422" spans="1:11" x14ac:dyDescent="0.3">
      <c r="A422" s="5" t="s">
        <v>133</v>
      </c>
      <c r="B422" s="7">
        <v>44834</v>
      </c>
      <c r="C422" s="5" t="s">
        <v>11</v>
      </c>
      <c r="D422" s="5">
        <v>7255</v>
      </c>
      <c r="E422" s="5" t="s">
        <v>138</v>
      </c>
      <c r="F422" s="7">
        <v>44966</v>
      </c>
      <c r="G422" s="4">
        <v>163</v>
      </c>
      <c r="H422" s="5" t="s">
        <v>13</v>
      </c>
      <c r="I422" s="3">
        <v>348.65</v>
      </c>
      <c r="J422" s="3">
        <v>348.65</v>
      </c>
      <c r="K422">
        <f t="shared" si="6"/>
        <v>348.65</v>
      </c>
    </row>
    <row r="423" spans="1:11" x14ac:dyDescent="0.3">
      <c r="A423" s="5" t="s">
        <v>133</v>
      </c>
      <c r="B423" s="7">
        <v>44846</v>
      </c>
      <c r="C423" s="5" t="s">
        <v>11</v>
      </c>
      <c r="D423" s="5">
        <v>7256</v>
      </c>
      <c r="E423" s="5" t="s">
        <v>138</v>
      </c>
      <c r="F423" s="7">
        <v>44966</v>
      </c>
      <c r="G423" s="4">
        <v>163</v>
      </c>
      <c r="H423" s="5" t="s">
        <v>13</v>
      </c>
      <c r="I423" s="3">
        <v>1395.6</v>
      </c>
      <c r="J423" s="3">
        <v>1395.6</v>
      </c>
      <c r="K423">
        <f t="shared" si="6"/>
        <v>1395.6</v>
      </c>
    </row>
    <row r="424" spans="1:11" x14ac:dyDescent="0.3">
      <c r="A424" s="5" t="s">
        <v>133</v>
      </c>
      <c r="B424" s="7">
        <v>44937</v>
      </c>
      <c r="C424" s="5" t="s">
        <v>11</v>
      </c>
      <c r="D424" s="5">
        <v>3156</v>
      </c>
      <c r="E424" s="5" t="s">
        <v>73</v>
      </c>
      <c r="F424" s="7">
        <v>44967</v>
      </c>
      <c r="G424" s="4">
        <v>162</v>
      </c>
      <c r="H424" s="5" t="s">
        <v>13</v>
      </c>
      <c r="I424" s="3">
        <v>450</v>
      </c>
      <c r="J424" s="3">
        <v>450</v>
      </c>
      <c r="K424">
        <f t="shared" si="6"/>
        <v>450</v>
      </c>
    </row>
    <row r="425" spans="1:11" x14ac:dyDescent="0.3">
      <c r="A425" s="5" t="s">
        <v>133</v>
      </c>
      <c r="B425" s="7">
        <v>44958</v>
      </c>
      <c r="C425" s="5" t="s">
        <v>11</v>
      </c>
      <c r="D425" s="5">
        <v>26384</v>
      </c>
      <c r="E425" s="5" t="s">
        <v>14</v>
      </c>
      <c r="F425" s="7">
        <v>44973</v>
      </c>
      <c r="G425" s="4">
        <v>156</v>
      </c>
      <c r="H425" s="5" t="s">
        <v>13</v>
      </c>
      <c r="I425" s="3">
        <v>300</v>
      </c>
      <c r="J425" s="3">
        <v>300</v>
      </c>
      <c r="K425">
        <f t="shared" si="6"/>
        <v>300</v>
      </c>
    </row>
    <row r="426" spans="1:11" x14ac:dyDescent="0.3">
      <c r="A426" s="5" t="s">
        <v>133</v>
      </c>
      <c r="B426" s="7">
        <v>44945</v>
      </c>
      <c r="C426" s="5" t="s">
        <v>11</v>
      </c>
      <c r="D426" s="5">
        <v>9212</v>
      </c>
      <c r="E426" s="5" t="s">
        <v>177</v>
      </c>
      <c r="F426" s="7">
        <v>44975</v>
      </c>
      <c r="G426" s="4">
        <v>154</v>
      </c>
      <c r="H426" s="5" t="s">
        <v>13</v>
      </c>
      <c r="I426" s="3">
        <v>2273.25</v>
      </c>
      <c r="J426" s="3">
        <v>2273.25</v>
      </c>
      <c r="K426">
        <f t="shared" si="6"/>
        <v>2273.25</v>
      </c>
    </row>
    <row r="427" spans="1:11" x14ac:dyDescent="0.3">
      <c r="A427" s="5" t="s">
        <v>133</v>
      </c>
      <c r="B427" s="7">
        <v>44981</v>
      </c>
      <c r="C427" s="5" t="s">
        <v>11</v>
      </c>
      <c r="D427" s="5" t="s">
        <v>178</v>
      </c>
      <c r="E427" s="5" t="s">
        <v>160</v>
      </c>
      <c r="F427" s="7">
        <v>44981</v>
      </c>
      <c r="G427" s="4">
        <v>148</v>
      </c>
      <c r="H427" s="5" t="s">
        <v>13</v>
      </c>
      <c r="I427" s="3">
        <v>3521.33</v>
      </c>
      <c r="J427" s="3">
        <v>3521.33</v>
      </c>
      <c r="K427">
        <f t="shared" si="6"/>
        <v>3521.33</v>
      </c>
    </row>
    <row r="428" spans="1:11" x14ac:dyDescent="0.3">
      <c r="A428" s="5" t="s">
        <v>133</v>
      </c>
      <c r="B428" s="7">
        <v>44981</v>
      </c>
      <c r="C428" s="5" t="s">
        <v>11</v>
      </c>
      <c r="D428" s="5" t="s">
        <v>179</v>
      </c>
      <c r="E428" s="5" t="s">
        <v>160</v>
      </c>
      <c r="F428" s="7">
        <v>44981</v>
      </c>
      <c r="G428" s="4">
        <v>148</v>
      </c>
      <c r="H428" s="5" t="s">
        <v>13</v>
      </c>
      <c r="I428" s="3">
        <v>3516.87</v>
      </c>
      <c r="J428" s="3">
        <v>3516.87</v>
      </c>
      <c r="K428">
        <f t="shared" si="6"/>
        <v>3516.87</v>
      </c>
    </row>
    <row r="429" spans="1:11" x14ac:dyDescent="0.3">
      <c r="A429" s="5" t="s">
        <v>133</v>
      </c>
      <c r="B429" s="7">
        <v>44985</v>
      </c>
      <c r="C429" s="5" t="s">
        <v>11</v>
      </c>
      <c r="D429" s="5">
        <v>43990</v>
      </c>
      <c r="E429" s="5" t="s">
        <v>12</v>
      </c>
      <c r="F429" s="7">
        <v>44985</v>
      </c>
      <c r="G429" s="4">
        <v>144</v>
      </c>
      <c r="H429" s="5" t="s">
        <v>13</v>
      </c>
      <c r="I429" s="3">
        <v>300</v>
      </c>
      <c r="J429" s="3">
        <v>300</v>
      </c>
      <c r="K429">
        <f t="shared" si="6"/>
        <v>300</v>
      </c>
    </row>
    <row r="430" spans="1:11" x14ac:dyDescent="0.3">
      <c r="A430" s="5" t="s">
        <v>133</v>
      </c>
      <c r="B430" s="7">
        <v>44981</v>
      </c>
      <c r="C430" s="5" t="s">
        <v>11</v>
      </c>
      <c r="D430" s="5" t="s">
        <v>180</v>
      </c>
      <c r="E430" s="5" t="s">
        <v>151</v>
      </c>
      <c r="F430" s="7">
        <v>44996</v>
      </c>
      <c r="G430" s="4">
        <v>133</v>
      </c>
      <c r="H430" s="5" t="s">
        <v>13</v>
      </c>
      <c r="I430" s="3">
        <v>2330</v>
      </c>
      <c r="J430" s="3">
        <v>2330</v>
      </c>
      <c r="K430">
        <f t="shared" si="6"/>
        <v>2330</v>
      </c>
    </row>
    <row r="431" spans="1:11" x14ac:dyDescent="0.3">
      <c r="A431" s="5" t="s">
        <v>133</v>
      </c>
      <c r="B431" s="7">
        <v>44999</v>
      </c>
      <c r="C431" s="5" t="s">
        <v>11</v>
      </c>
      <c r="D431" s="5">
        <v>69977889</v>
      </c>
      <c r="E431" s="5" t="s">
        <v>181</v>
      </c>
      <c r="F431" s="7">
        <v>44999</v>
      </c>
      <c r="G431" s="4">
        <v>130</v>
      </c>
      <c r="H431" s="5" t="s">
        <v>13</v>
      </c>
      <c r="I431" s="3">
        <v>175</v>
      </c>
      <c r="J431" s="3">
        <v>175</v>
      </c>
      <c r="K431">
        <f t="shared" si="6"/>
        <v>175</v>
      </c>
    </row>
    <row r="432" spans="1:11" x14ac:dyDescent="0.3">
      <c r="A432" s="5" t="s">
        <v>133</v>
      </c>
      <c r="B432" s="7">
        <v>45000</v>
      </c>
      <c r="C432" s="5" t="s">
        <v>11</v>
      </c>
      <c r="D432" s="5">
        <v>694518</v>
      </c>
      <c r="E432" s="5" t="s">
        <v>146</v>
      </c>
      <c r="F432" s="7">
        <v>45000</v>
      </c>
      <c r="G432" s="4">
        <v>129</v>
      </c>
      <c r="H432" s="5" t="s">
        <v>13</v>
      </c>
      <c r="I432" s="3">
        <v>1250</v>
      </c>
      <c r="J432" s="3">
        <v>1250</v>
      </c>
      <c r="K432">
        <f t="shared" si="6"/>
        <v>1250</v>
      </c>
    </row>
    <row r="433" spans="1:11" x14ac:dyDescent="0.3">
      <c r="A433" s="5" t="s">
        <v>133</v>
      </c>
      <c r="B433" s="7">
        <v>44986</v>
      </c>
      <c r="C433" s="5" t="s">
        <v>11</v>
      </c>
      <c r="D433" s="5">
        <v>26505</v>
      </c>
      <c r="E433" s="5" t="s">
        <v>14</v>
      </c>
      <c r="F433" s="7">
        <v>45001</v>
      </c>
      <c r="G433" s="4">
        <v>128</v>
      </c>
      <c r="H433" s="5" t="s">
        <v>13</v>
      </c>
      <c r="I433" s="3">
        <v>300</v>
      </c>
      <c r="J433" s="3">
        <v>300</v>
      </c>
      <c r="K433">
        <f t="shared" si="6"/>
        <v>300</v>
      </c>
    </row>
    <row r="434" spans="1:11" x14ac:dyDescent="0.3">
      <c r="A434" s="5" t="s">
        <v>133</v>
      </c>
      <c r="B434" s="7">
        <v>45007</v>
      </c>
      <c r="C434" s="5" t="s">
        <v>11</v>
      </c>
      <c r="D434" s="5">
        <v>92576</v>
      </c>
      <c r="E434" s="5" t="s">
        <v>155</v>
      </c>
      <c r="F434" s="7">
        <v>45007</v>
      </c>
      <c r="G434" s="4">
        <v>122</v>
      </c>
      <c r="H434" s="5" t="s">
        <v>13</v>
      </c>
      <c r="I434" s="3">
        <v>625</v>
      </c>
      <c r="J434" s="3">
        <v>625</v>
      </c>
      <c r="K434">
        <f t="shared" si="6"/>
        <v>625</v>
      </c>
    </row>
    <row r="435" spans="1:11" x14ac:dyDescent="0.3">
      <c r="A435" s="5" t="s">
        <v>133</v>
      </c>
      <c r="B435" s="7">
        <v>44993</v>
      </c>
      <c r="C435" s="5" t="s">
        <v>11</v>
      </c>
      <c r="D435" s="5" t="s">
        <v>182</v>
      </c>
      <c r="E435" s="5" t="s">
        <v>151</v>
      </c>
      <c r="F435" s="7">
        <v>45008</v>
      </c>
      <c r="G435" s="4">
        <v>121</v>
      </c>
      <c r="H435" s="5" t="s">
        <v>13</v>
      </c>
      <c r="I435" s="3">
        <v>2150</v>
      </c>
      <c r="J435" s="3">
        <v>2150</v>
      </c>
      <c r="K435">
        <f t="shared" si="6"/>
        <v>2150</v>
      </c>
    </row>
    <row r="436" spans="1:11" x14ac:dyDescent="0.3">
      <c r="A436" s="5" t="s">
        <v>133</v>
      </c>
      <c r="B436" s="7">
        <v>45014</v>
      </c>
      <c r="C436" s="5" t="s">
        <v>11</v>
      </c>
      <c r="D436" s="5">
        <v>70144506</v>
      </c>
      <c r="E436" s="5" t="s">
        <v>181</v>
      </c>
      <c r="F436" s="7">
        <v>45014</v>
      </c>
      <c r="G436" s="4">
        <v>115</v>
      </c>
      <c r="H436" s="5" t="s">
        <v>13</v>
      </c>
      <c r="I436" s="3">
        <v>737.81</v>
      </c>
      <c r="J436" s="3">
        <v>737.81</v>
      </c>
      <c r="K436">
        <f t="shared" si="6"/>
        <v>737.81</v>
      </c>
    </row>
    <row r="437" spans="1:11" x14ac:dyDescent="0.3">
      <c r="A437" s="5" t="s">
        <v>133</v>
      </c>
      <c r="B437" s="7">
        <v>45014</v>
      </c>
      <c r="C437" s="5" t="s">
        <v>11</v>
      </c>
      <c r="D437" s="5">
        <v>70144508</v>
      </c>
      <c r="E437" s="5" t="s">
        <v>181</v>
      </c>
      <c r="F437" s="7">
        <v>45014</v>
      </c>
      <c r="G437" s="4">
        <v>115</v>
      </c>
      <c r="H437" s="5" t="s">
        <v>13</v>
      </c>
      <c r="I437" s="3">
        <v>737.81</v>
      </c>
      <c r="J437" s="3">
        <v>737.81</v>
      </c>
      <c r="K437">
        <f t="shared" si="6"/>
        <v>737.81</v>
      </c>
    </row>
    <row r="438" spans="1:11" x14ac:dyDescent="0.3">
      <c r="A438" s="5" t="s">
        <v>133</v>
      </c>
      <c r="B438" s="7">
        <v>45014</v>
      </c>
      <c r="C438" s="5" t="s">
        <v>11</v>
      </c>
      <c r="D438" s="5">
        <v>70144504</v>
      </c>
      <c r="E438" s="5" t="s">
        <v>181</v>
      </c>
      <c r="F438" s="7">
        <v>45014</v>
      </c>
      <c r="G438" s="4">
        <v>115</v>
      </c>
      <c r="H438" s="5" t="s">
        <v>13</v>
      </c>
      <c r="I438" s="3">
        <v>732.01</v>
      </c>
      <c r="J438" s="3">
        <v>732.01</v>
      </c>
      <c r="K438">
        <f t="shared" si="6"/>
        <v>732.01</v>
      </c>
    </row>
    <row r="439" spans="1:11" x14ac:dyDescent="0.3">
      <c r="A439" s="5" t="s">
        <v>133</v>
      </c>
      <c r="B439" s="7">
        <v>45014</v>
      </c>
      <c r="C439" s="5" t="s">
        <v>11</v>
      </c>
      <c r="D439" s="5">
        <v>70144510</v>
      </c>
      <c r="E439" s="5" t="s">
        <v>181</v>
      </c>
      <c r="F439" s="7">
        <v>45014</v>
      </c>
      <c r="G439" s="4">
        <v>115</v>
      </c>
      <c r="H439" s="5" t="s">
        <v>13</v>
      </c>
      <c r="I439" s="3">
        <v>732.01</v>
      </c>
      <c r="J439" s="3">
        <v>732.01</v>
      </c>
      <c r="K439">
        <f t="shared" si="6"/>
        <v>732.01</v>
      </c>
    </row>
    <row r="440" spans="1:11" x14ac:dyDescent="0.3">
      <c r="A440" s="5" t="s">
        <v>133</v>
      </c>
      <c r="B440" s="7">
        <v>45014</v>
      </c>
      <c r="C440" s="5" t="s">
        <v>11</v>
      </c>
      <c r="D440" s="5">
        <v>70144512</v>
      </c>
      <c r="E440" s="5" t="s">
        <v>181</v>
      </c>
      <c r="F440" s="7">
        <v>45014</v>
      </c>
      <c r="G440" s="4">
        <v>115</v>
      </c>
      <c r="H440" s="5" t="s">
        <v>13</v>
      </c>
      <c r="I440" s="3">
        <v>732.01</v>
      </c>
      <c r="J440" s="3">
        <v>732.01</v>
      </c>
      <c r="K440">
        <f t="shared" si="6"/>
        <v>732.01</v>
      </c>
    </row>
    <row r="441" spans="1:11" x14ac:dyDescent="0.3">
      <c r="A441" s="5" t="s">
        <v>133</v>
      </c>
      <c r="B441" s="7">
        <v>45014</v>
      </c>
      <c r="C441" s="5" t="s">
        <v>11</v>
      </c>
      <c r="D441" s="5">
        <v>70144514</v>
      </c>
      <c r="E441" s="5" t="s">
        <v>181</v>
      </c>
      <c r="F441" s="7">
        <v>45014</v>
      </c>
      <c r="G441" s="4">
        <v>115</v>
      </c>
      <c r="H441" s="5" t="s">
        <v>13</v>
      </c>
      <c r="I441" s="3">
        <v>732.01</v>
      </c>
      <c r="J441" s="3">
        <v>732.01</v>
      </c>
      <c r="K441">
        <f t="shared" si="6"/>
        <v>732.01</v>
      </c>
    </row>
    <row r="442" spans="1:11" x14ac:dyDescent="0.3">
      <c r="A442" s="5" t="s">
        <v>133</v>
      </c>
      <c r="B442" s="7">
        <v>44985</v>
      </c>
      <c r="C442" s="5" t="s">
        <v>11</v>
      </c>
      <c r="D442" s="5">
        <v>13821</v>
      </c>
      <c r="E442" s="5" t="s">
        <v>105</v>
      </c>
      <c r="F442" s="7">
        <v>45015</v>
      </c>
      <c r="G442" s="4">
        <v>114</v>
      </c>
      <c r="H442" s="5" t="s">
        <v>13</v>
      </c>
      <c r="I442" s="3">
        <v>225</v>
      </c>
      <c r="J442" s="3">
        <v>225</v>
      </c>
      <c r="K442">
        <f t="shared" si="6"/>
        <v>225</v>
      </c>
    </row>
    <row r="443" spans="1:11" x14ac:dyDescent="0.3">
      <c r="A443" s="5" t="s">
        <v>133</v>
      </c>
      <c r="B443" s="7">
        <v>45016</v>
      </c>
      <c r="C443" s="5" t="s">
        <v>11</v>
      </c>
      <c r="D443" s="5" t="s">
        <v>183</v>
      </c>
      <c r="E443" s="5" t="s">
        <v>50</v>
      </c>
      <c r="F443" s="7">
        <v>45016</v>
      </c>
      <c r="G443" s="4">
        <v>113</v>
      </c>
      <c r="H443" s="5" t="s">
        <v>13</v>
      </c>
      <c r="I443" s="3">
        <v>500</v>
      </c>
      <c r="J443" s="3">
        <v>500</v>
      </c>
      <c r="K443">
        <f t="shared" si="6"/>
        <v>500</v>
      </c>
    </row>
    <row r="444" spans="1:11" x14ac:dyDescent="0.3">
      <c r="A444" s="5" t="s">
        <v>133</v>
      </c>
      <c r="B444" s="7">
        <v>45016</v>
      </c>
      <c r="C444" s="5" t="s">
        <v>11</v>
      </c>
      <c r="D444" s="5" t="s">
        <v>184</v>
      </c>
      <c r="E444" s="5" t="s">
        <v>50</v>
      </c>
      <c r="F444" s="7">
        <v>45016</v>
      </c>
      <c r="G444" s="4">
        <v>113</v>
      </c>
      <c r="H444" s="5" t="s">
        <v>13</v>
      </c>
      <c r="I444" s="3">
        <v>500</v>
      </c>
      <c r="J444" s="3">
        <v>500</v>
      </c>
      <c r="K444">
        <f t="shared" si="6"/>
        <v>500</v>
      </c>
    </row>
    <row r="445" spans="1:11" x14ac:dyDescent="0.3">
      <c r="A445" s="5" t="s">
        <v>133</v>
      </c>
      <c r="B445" s="7">
        <v>45016</v>
      </c>
      <c r="C445" s="5" t="s">
        <v>11</v>
      </c>
      <c r="D445" s="5" t="s">
        <v>185</v>
      </c>
      <c r="E445" s="5" t="s">
        <v>50</v>
      </c>
      <c r="F445" s="7">
        <v>45016</v>
      </c>
      <c r="G445" s="4">
        <v>113</v>
      </c>
      <c r="H445" s="5" t="s">
        <v>13</v>
      </c>
      <c r="I445" s="3">
        <v>500</v>
      </c>
      <c r="J445" s="3">
        <v>500</v>
      </c>
      <c r="K445">
        <f t="shared" si="6"/>
        <v>500</v>
      </c>
    </row>
    <row r="446" spans="1:11" x14ac:dyDescent="0.3">
      <c r="A446" s="5" t="s">
        <v>133</v>
      </c>
      <c r="B446" s="7">
        <v>45016</v>
      </c>
      <c r="C446" s="5" t="s">
        <v>11</v>
      </c>
      <c r="D446" s="5" t="s">
        <v>186</v>
      </c>
      <c r="E446" s="5" t="s">
        <v>50</v>
      </c>
      <c r="F446" s="7">
        <v>45016</v>
      </c>
      <c r="G446" s="4">
        <v>113</v>
      </c>
      <c r="H446" s="5" t="s">
        <v>13</v>
      </c>
      <c r="I446" s="3">
        <v>500</v>
      </c>
      <c r="J446" s="3">
        <v>500</v>
      </c>
      <c r="K446">
        <f t="shared" si="6"/>
        <v>500</v>
      </c>
    </row>
    <row r="447" spans="1:11" x14ac:dyDescent="0.3">
      <c r="A447" s="5" t="s">
        <v>133</v>
      </c>
      <c r="B447" s="7">
        <v>45023</v>
      </c>
      <c r="C447" s="5" t="s">
        <v>11</v>
      </c>
      <c r="D447" s="5">
        <v>1019</v>
      </c>
      <c r="E447" s="5" t="s">
        <v>187</v>
      </c>
      <c r="F447" s="7">
        <v>45023</v>
      </c>
      <c r="G447" s="4">
        <v>106</v>
      </c>
      <c r="H447" s="5" t="s">
        <v>13</v>
      </c>
      <c r="I447" s="3">
        <v>636.75</v>
      </c>
      <c r="J447" s="3">
        <v>636.75</v>
      </c>
      <c r="K447">
        <f t="shared" si="6"/>
        <v>636.75</v>
      </c>
    </row>
    <row r="448" spans="1:11" x14ac:dyDescent="0.3">
      <c r="A448" s="5" t="s">
        <v>133</v>
      </c>
      <c r="B448" s="7">
        <v>45021</v>
      </c>
      <c r="C448" s="5" t="s">
        <v>11</v>
      </c>
      <c r="D448" s="5">
        <v>1025</v>
      </c>
      <c r="E448" s="5" t="s">
        <v>188</v>
      </c>
      <c r="F448" s="7">
        <v>45024</v>
      </c>
      <c r="G448" s="4">
        <v>105</v>
      </c>
      <c r="H448" s="5" t="s">
        <v>13</v>
      </c>
      <c r="I448" s="3">
        <v>7630</v>
      </c>
      <c r="J448" s="3">
        <v>7630</v>
      </c>
      <c r="K448">
        <f t="shared" si="6"/>
        <v>7630</v>
      </c>
    </row>
    <row r="449" spans="1:11" x14ac:dyDescent="0.3">
      <c r="A449" s="5" t="s">
        <v>133</v>
      </c>
      <c r="B449" s="7">
        <v>45017</v>
      </c>
      <c r="C449" s="5" t="s">
        <v>11</v>
      </c>
      <c r="D449" s="5">
        <v>26631</v>
      </c>
      <c r="E449" s="5" t="s">
        <v>14</v>
      </c>
      <c r="F449" s="7">
        <v>45032</v>
      </c>
      <c r="G449" s="4">
        <v>97</v>
      </c>
      <c r="H449" s="5" t="s">
        <v>13</v>
      </c>
      <c r="I449" s="3">
        <v>300</v>
      </c>
      <c r="J449" s="3">
        <v>300</v>
      </c>
      <c r="K449">
        <f t="shared" si="6"/>
        <v>300</v>
      </c>
    </row>
    <row r="450" spans="1:11" x14ac:dyDescent="0.3">
      <c r="A450" s="5" t="s">
        <v>133</v>
      </c>
      <c r="B450" s="7">
        <v>45014</v>
      </c>
      <c r="C450" s="5" t="s">
        <v>11</v>
      </c>
      <c r="D450" s="5">
        <v>3314</v>
      </c>
      <c r="E450" s="5" t="s">
        <v>73</v>
      </c>
      <c r="F450" s="7">
        <v>45044</v>
      </c>
      <c r="G450" s="4">
        <v>85</v>
      </c>
      <c r="H450" s="5" t="s">
        <v>29</v>
      </c>
      <c r="I450" s="3">
        <v>490</v>
      </c>
      <c r="J450" s="3">
        <v>490</v>
      </c>
      <c r="K450">
        <f t="shared" si="6"/>
        <v>0</v>
      </c>
    </row>
    <row r="451" spans="1:11" x14ac:dyDescent="0.3">
      <c r="A451" s="5" t="s">
        <v>133</v>
      </c>
      <c r="B451" s="7">
        <v>45016</v>
      </c>
      <c r="C451" s="5" t="s">
        <v>11</v>
      </c>
      <c r="D451" s="5">
        <v>1698915</v>
      </c>
      <c r="E451" s="5" t="s">
        <v>173</v>
      </c>
      <c r="F451" s="7">
        <v>45046</v>
      </c>
      <c r="G451" s="4">
        <v>83</v>
      </c>
      <c r="H451" s="5" t="s">
        <v>29</v>
      </c>
      <c r="I451" s="3">
        <v>186.84</v>
      </c>
      <c r="J451" s="3">
        <v>186.84</v>
      </c>
      <c r="K451">
        <f t="shared" si="6"/>
        <v>0</v>
      </c>
    </row>
    <row r="452" spans="1:11" x14ac:dyDescent="0.3">
      <c r="A452" s="5" t="s">
        <v>133</v>
      </c>
      <c r="B452" s="7">
        <v>45036</v>
      </c>
      <c r="C452" s="5" t="s">
        <v>11</v>
      </c>
      <c r="D452" s="5" t="s">
        <v>189</v>
      </c>
      <c r="E452" s="5" t="s">
        <v>151</v>
      </c>
      <c r="F452" s="7">
        <v>45051</v>
      </c>
      <c r="G452" s="4">
        <v>78</v>
      </c>
      <c r="H452" s="5" t="s">
        <v>29</v>
      </c>
      <c r="I452" s="3">
        <v>2897.5</v>
      </c>
      <c r="J452" s="3">
        <v>2897.5</v>
      </c>
      <c r="K452">
        <f t="shared" ref="K452:K463" si="7">IF(H452="91+ days",J452,0)</f>
        <v>0</v>
      </c>
    </row>
    <row r="453" spans="1:11" x14ac:dyDescent="0.3">
      <c r="A453" s="5" t="s">
        <v>133</v>
      </c>
      <c r="B453" s="7">
        <v>45064</v>
      </c>
      <c r="C453" s="5" t="s">
        <v>83</v>
      </c>
      <c r="D453" s="5" t="s">
        <v>190</v>
      </c>
      <c r="E453" s="5" t="s">
        <v>188</v>
      </c>
      <c r="F453" s="7">
        <v>45064</v>
      </c>
      <c r="G453" s="4">
        <v>65</v>
      </c>
      <c r="H453" s="5" t="s">
        <v>29</v>
      </c>
      <c r="I453" s="3">
        <v>-4000</v>
      </c>
      <c r="J453" s="3">
        <v>-4000</v>
      </c>
      <c r="K453">
        <f t="shared" si="7"/>
        <v>0</v>
      </c>
    </row>
    <row r="454" spans="1:11" x14ac:dyDescent="0.3">
      <c r="A454" s="5" t="s">
        <v>133</v>
      </c>
      <c r="B454" s="7">
        <v>45043</v>
      </c>
      <c r="C454" s="5" t="s">
        <v>11</v>
      </c>
      <c r="D454" s="5">
        <v>44964</v>
      </c>
      <c r="E454" s="5" t="s">
        <v>12</v>
      </c>
      <c r="F454" s="7">
        <v>45073</v>
      </c>
      <c r="G454" s="4">
        <v>56</v>
      </c>
      <c r="H454" s="5" t="s">
        <v>31</v>
      </c>
      <c r="I454" s="3">
        <v>300</v>
      </c>
      <c r="J454" s="3">
        <v>300</v>
      </c>
      <c r="K454">
        <f t="shared" si="7"/>
        <v>0</v>
      </c>
    </row>
    <row r="455" spans="1:11" x14ac:dyDescent="0.3">
      <c r="A455" s="5" t="s">
        <v>133</v>
      </c>
      <c r="B455" s="7">
        <v>45044</v>
      </c>
      <c r="C455" s="5" t="s">
        <v>11</v>
      </c>
      <c r="D455" s="5">
        <v>9335</v>
      </c>
      <c r="E455" s="5" t="s">
        <v>177</v>
      </c>
      <c r="F455" s="7">
        <v>45074</v>
      </c>
      <c r="G455" s="4">
        <v>55</v>
      </c>
      <c r="H455" s="5" t="s">
        <v>31</v>
      </c>
      <c r="I455" s="3">
        <v>2273.25</v>
      </c>
      <c r="J455" s="3">
        <v>2273.25</v>
      </c>
      <c r="K455">
        <f t="shared" si="7"/>
        <v>0</v>
      </c>
    </row>
    <row r="456" spans="1:11" x14ac:dyDescent="0.3">
      <c r="A456" s="5" t="s">
        <v>133</v>
      </c>
      <c r="B456" s="7">
        <v>45046</v>
      </c>
      <c r="C456" s="5" t="s">
        <v>11</v>
      </c>
      <c r="D456" s="5">
        <v>1701880</v>
      </c>
      <c r="E456" s="5" t="s">
        <v>173</v>
      </c>
      <c r="F456" s="7">
        <v>45076</v>
      </c>
      <c r="G456" s="4">
        <v>53</v>
      </c>
      <c r="H456" s="5" t="s">
        <v>31</v>
      </c>
      <c r="I456" s="3">
        <v>186.84</v>
      </c>
      <c r="J456" s="3">
        <v>186.84</v>
      </c>
      <c r="K456">
        <f t="shared" si="7"/>
        <v>0</v>
      </c>
    </row>
    <row r="457" spans="1:11" x14ac:dyDescent="0.3">
      <c r="A457" s="5" t="s">
        <v>133</v>
      </c>
      <c r="B457" s="7">
        <v>45077</v>
      </c>
      <c r="C457" s="5" t="s">
        <v>11</v>
      </c>
      <c r="D457" s="5">
        <v>1705945</v>
      </c>
      <c r="E457" s="5" t="s">
        <v>191</v>
      </c>
      <c r="F457" s="7">
        <v>45077</v>
      </c>
      <c r="G457" s="4">
        <v>52</v>
      </c>
      <c r="H457" s="5" t="s">
        <v>31</v>
      </c>
      <c r="I457" s="3">
        <v>186.84</v>
      </c>
      <c r="J457" s="3">
        <v>186.84</v>
      </c>
      <c r="K457">
        <f t="shared" si="7"/>
        <v>0</v>
      </c>
    </row>
    <row r="458" spans="1:11" x14ac:dyDescent="0.3">
      <c r="A458" s="5" t="s">
        <v>133</v>
      </c>
      <c r="B458" s="7">
        <v>45079</v>
      </c>
      <c r="C458" s="5" t="s">
        <v>11</v>
      </c>
      <c r="D458" s="5">
        <v>1031</v>
      </c>
      <c r="E458" s="5" t="s">
        <v>188</v>
      </c>
      <c r="F458" s="7">
        <v>45079</v>
      </c>
      <c r="G458" s="4">
        <v>50</v>
      </c>
      <c r="H458" s="5" t="s">
        <v>31</v>
      </c>
      <c r="I458" s="3">
        <v>4530</v>
      </c>
      <c r="J458" s="3">
        <v>4530</v>
      </c>
      <c r="K458">
        <f t="shared" si="7"/>
        <v>0</v>
      </c>
    </row>
    <row r="459" spans="1:11" x14ac:dyDescent="0.3">
      <c r="A459" s="5" t="s">
        <v>133</v>
      </c>
      <c r="B459" s="7">
        <v>45068</v>
      </c>
      <c r="C459" s="5" t="s">
        <v>11</v>
      </c>
      <c r="D459" s="5" t="s">
        <v>192</v>
      </c>
      <c r="E459" s="5" t="s">
        <v>151</v>
      </c>
      <c r="F459" s="7">
        <v>45083</v>
      </c>
      <c r="G459" s="4">
        <v>46</v>
      </c>
      <c r="H459" s="5" t="s">
        <v>31</v>
      </c>
      <c r="I459" s="3">
        <v>1975</v>
      </c>
      <c r="J459" s="3">
        <v>1975</v>
      </c>
      <c r="K459">
        <f t="shared" si="7"/>
        <v>0</v>
      </c>
    </row>
    <row r="460" spans="1:11" x14ac:dyDescent="0.3">
      <c r="A460" s="5" t="s">
        <v>133</v>
      </c>
      <c r="B460" s="7">
        <v>45084</v>
      </c>
      <c r="C460" s="5" t="s">
        <v>11</v>
      </c>
      <c r="D460" s="5" t="s">
        <v>193</v>
      </c>
      <c r="E460" s="5" t="s">
        <v>194</v>
      </c>
      <c r="F460" s="7">
        <v>45084</v>
      </c>
      <c r="G460" s="4">
        <v>45</v>
      </c>
      <c r="H460" s="5" t="s">
        <v>31</v>
      </c>
      <c r="I460" s="3">
        <v>4825</v>
      </c>
      <c r="J460" s="3">
        <v>4825</v>
      </c>
      <c r="K460">
        <f t="shared" si="7"/>
        <v>0</v>
      </c>
    </row>
    <row r="461" spans="1:11" x14ac:dyDescent="0.3">
      <c r="A461" s="5" t="s">
        <v>133</v>
      </c>
      <c r="B461" s="7">
        <v>45107</v>
      </c>
      <c r="C461" s="5" t="s">
        <v>11</v>
      </c>
      <c r="D461" s="5" t="s">
        <v>195</v>
      </c>
      <c r="E461" s="5" t="s">
        <v>151</v>
      </c>
      <c r="F461" s="7">
        <v>45107</v>
      </c>
      <c r="G461" s="4">
        <v>22</v>
      </c>
      <c r="H461" s="5" t="s">
        <v>33</v>
      </c>
      <c r="I461" s="3">
        <v>1861.25</v>
      </c>
      <c r="J461" s="3">
        <v>1861.25</v>
      </c>
      <c r="K461">
        <f t="shared" si="7"/>
        <v>0</v>
      </c>
    </row>
    <row r="462" spans="1:11" x14ac:dyDescent="0.3">
      <c r="A462" s="5" t="s">
        <v>133</v>
      </c>
      <c r="B462" s="7">
        <v>45107</v>
      </c>
      <c r="C462" s="5" t="s">
        <v>11</v>
      </c>
      <c r="D462" s="5">
        <v>1709351</v>
      </c>
      <c r="E462" s="5" t="s">
        <v>173</v>
      </c>
      <c r="F462" s="7">
        <v>45137</v>
      </c>
      <c r="G462" s="4">
        <v>-8</v>
      </c>
      <c r="H462" s="5" t="s">
        <v>196</v>
      </c>
      <c r="I462" s="3">
        <v>186.84</v>
      </c>
      <c r="J462" s="3">
        <v>186.84</v>
      </c>
      <c r="K462">
        <f t="shared" si="7"/>
        <v>0</v>
      </c>
    </row>
    <row r="463" spans="1:11" x14ac:dyDescent="0.3">
      <c r="A463" s="5" t="s">
        <v>133</v>
      </c>
      <c r="B463" s="7">
        <v>44775</v>
      </c>
      <c r="C463" s="5" t="s">
        <v>197</v>
      </c>
      <c r="D463" s="5">
        <v>4078</v>
      </c>
      <c r="E463" s="5" t="s">
        <v>52</v>
      </c>
      <c r="F463" s="7"/>
      <c r="G463" s="4">
        <v>0</v>
      </c>
      <c r="H463" s="5" t="s">
        <v>196</v>
      </c>
      <c r="I463" s="3">
        <v>-15276.24</v>
      </c>
      <c r="J463" s="3">
        <v>-15276.24</v>
      </c>
      <c r="K463">
        <f t="shared" si="7"/>
        <v>0</v>
      </c>
    </row>
    <row r="465" spans="1:10" x14ac:dyDescent="0.3">
      <c r="A465" s="2" t="s">
        <v>198</v>
      </c>
      <c r="I465" s="8">
        <f>SUM(I3:I463)</f>
        <v>2579175.1099999971</v>
      </c>
      <c r="J465" s="8">
        <f>SUM(J3:J463)</f>
        <v>2539527.9199999971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C33" sqref="C33"/>
    </sheetView>
  </sheetViews>
  <sheetFormatPr defaultRowHeight="14.4" x14ac:dyDescent="0.3"/>
  <cols>
    <col min="1" max="1" width="28.44140625" customWidth="1"/>
    <col min="2" max="2" width="20.109375" customWidth="1"/>
    <col min="3" max="3" width="17" customWidth="1"/>
    <col min="4" max="4" width="8" customWidth="1"/>
    <col min="5" max="5" width="15.77734375" customWidth="1"/>
    <col min="6" max="6" width="16" customWidth="1"/>
    <col min="7" max="7" width="17.5546875" customWidth="1"/>
    <col min="8" max="13" width="6.5546875" customWidth="1"/>
    <col min="14" max="45" width="7.5546875" customWidth="1"/>
    <col min="46" max="46" width="8" customWidth="1"/>
    <col min="47" max="59" width="7.5546875" customWidth="1"/>
    <col min="60" max="60" width="8" customWidth="1"/>
    <col min="61" max="62" width="7.5546875" customWidth="1"/>
    <col min="63" max="63" width="8" customWidth="1"/>
    <col min="64" max="68" width="7.5546875" customWidth="1"/>
    <col min="69" max="70" width="8" customWidth="1"/>
    <col min="71" max="88" width="7.5546875" customWidth="1"/>
    <col min="89" max="90" width="8" customWidth="1"/>
    <col min="91" max="100" width="7.5546875" customWidth="1"/>
    <col min="101" max="237" width="9.109375" bestFit="1" customWidth="1"/>
    <col min="238" max="258" width="10.109375" bestFit="1" customWidth="1"/>
    <col min="259" max="260" width="11.109375" bestFit="1" customWidth="1"/>
    <col min="261" max="261" width="12.6640625" bestFit="1" customWidth="1"/>
    <col min="262" max="262" width="17.44140625" bestFit="1" customWidth="1"/>
    <col min="263" max="263" width="9.77734375" bestFit="1" customWidth="1"/>
    <col min="264" max="264" width="5.5546875" bestFit="1" customWidth="1"/>
    <col min="265" max="273" width="6.5546875" bestFit="1" customWidth="1"/>
    <col min="274" max="305" width="7.5546875" bestFit="1" customWidth="1"/>
    <col min="306" max="306" width="8" bestFit="1" customWidth="1"/>
    <col min="307" max="319" width="7.5546875" bestFit="1" customWidth="1"/>
    <col min="320" max="320" width="8" bestFit="1" customWidth="1"/>
    <col min="321" max="322" width="7.5546875" bestFit="1" customWidth="1"/>
    <col min="323" max="323" width="8" bestFit="1" customWidth="1"/>
    <col min="324" max="328" width="7.5546875" bestFit="1" customWidth="1"/>
    <col min="329" max="330" width="8" bestFit="1" customWidth="1"/>
    <col min="331" max="348" width="7.5546875" bestFit="1" customWidth="1"/>
    <col min="349" max="350" width="8" bestFit="1" customWidth="1"/>
    <col min="351" max="360" width="7.5546875" bestFit="1" customWidth="1"/>
    <col min="361" max="497" width="9.109375" bestFit="1" customWidth="1"/>
    <col min="498" max="518" width="10.109375" bestFit="1" customWidth="1"/>
    <col min="519" max="520" width="11.109375" bestFit="1" customWidth="1"/>
    <col min="521" max="521" width="12.6640625" bestFit="1" customWidth="1"/>
    <col min="522" max="522" width="16.21875" bestFit="1" customWidth="1"/>
    <col min="523" max="523" width="9.77734375" bestFit="1" customWidth="1"/>
    <col min="524" max="524" width="5.5546875" bestFit="1" customWidth="1"/>
    <col min="525" max="533" width="6.5546875" bestFit="1" customWidth="1"/>
    <col min="534" max="620" width="7.5546875" bestFit="1" customWidth="1"/>
    <col min="621" max="757" width="9.109375" bestFit="1" customWidth="1"/>
    <col min="758" max="778" width="10.109375" bestFit="1" customWidth="1"/>
    <col min="779" max="780" width="11.109375" bestFit="1" customWidth="1"/>
    <col min="781" max="781" width="12.6640625" bestFit="1" customWidth="1"/>
    <col min="782" max="782" width="16.44140625" bestFit="1" customWidth="1"/>
    <col min="783" max="783" width="9.77734375" bestFit="1" customWidth="1"/>
    <col min="784" max="784" width="5.5546875" bestFit="1" customWidth="1"/>
    <col min="785" max="793" width="6.5546875" bestFit="1" customWidth="1"/>
    <col min="794" max="880" width="7.5546875" bestFit="1" customWidth="1"/>
    <col min="881" max="1017" width="9.109375" bestFit="1" customWidth="1"/>
    <col min="1018" max="1038" width="10.109375" bestFit="1" customWidth="1"/>
    <col min="1039" max="1040" width="11.109375" bestFit="1" customWidth="1"/>
    <col min="1041" max="1041" width="12.6640625" bestFit="1" customWidth="1"/>
    <col min="1042" max="1042" width="25.6640625" bestFit="1" customWidth="1"/>
    <col min="1043" max="1043" width="22.21875" bestFit="1" customWidth="1"/>
    <col min="1044" max="1044" width="21" bestFit="1" customWidth="1"/>
    <col min="1045" max="1045" width="21.33203125" bestFit="1" customWidth="1"/>
    <col min="2000" max="2000" width="2.5546875" customWidth="1"/>
  </cols>
  <sheetData>
    <row r="1" spans="1:7" ht="23.4" x14ac:dyDescent="0.45">
      <c r="A1" s="19" t="s">
        <v>199</v>
      </c>
      <c r="B1" s="19"/>
    </row>
    <row r="3" spans="1:7" x14ac:dyDescent="0.3">
      <c r="A3" s="17" t="s">
        <v>0</v>
      </c>
      <c r="B3" s="17" t="s">
        <v>209</v>
      </c>
      <c r="C3" s="17" t="s">
        <v>201</v>
      </c>
      <c r="D3" s="17" t="s">
        <v>210</v>
      </c>
      <c r="E3" s="17" t="s">
        <v>208</v>
      </c>
      <c r="F3" s="17" t="s">
        <v>200</v>
      </c>
      <c r="G3" s="17" t="s">
        <v>211</v>
      </c>
    </row>
    <row r="4" spans="1:7" x14ac:dyDescent="0.3">
      <c r="A4" s="11" t="s">
        <v>10</v>
      </c>
      <c r="B4" s="14">
        <v>75085.089999999982</v>
      </c>
      <c r="C4" s="14">
        <v>75085.089999999982</v>
      </c>
      <c r="D4" s="12">
        <v>2.9566554243672213E-2</v>
      </c>
      <c r="E4" s="9">
        <v>21</v>
      </c>
      <c r="F4" s="9">
        <v>21</v>
      </c>
      <c r="G4" s="16">
        <v>207</v>
      </c>
    </row>
    <row r="5" spans="1:7" x14ac:dyDescent="0.3">
      <c r="A5" s="11" t="s">
        <v>34</v>
      </c>
      <c r="B5" s="14">
        <v>682306.37000000011</v>
      </c>
      <c r="C5" s="14">
        <v>645086.38000000012</v>
      </c>
      <c r="D5" s="12">
        <v>0.25401822713569572</v>
      </c>
      <c r="E5" s="9">
        <v>135</v>
      </c>
      <c r="F5" s="9">
        <v>135</v>
      </c>
      <c r="G5" s="16">
        <v>228.82962962962964</v>
      </c>
    </row>
    <row r="6" spans="1:7" x14ac:dyDescent="0.3">
      <c r="A6" s="11" t="s">
        <v>124</v>
      </c>
      <c r="B6" s="14">
        <v>48151.78</v>
      </c>
      <c r="C6" s="14">
        <v>48151.78</v>
      </c>
      <c r="D6" s="12">
        <v>1.896091774411366E-2</v>
      </c>
      <c r="E6" s="9">
        <v>19</v>
      </c>
      <c r="F6" s="9">
        <v>19</v>
      </c>
      <c r="G6" s="16">
        <v>208.57894736842104</v>
      </c>
    </row>
    <row r="7" spans="1:7" x14ac:dyDescent="0.3">
      <c r="A7" s="11" t="s">
        <v>126</v>
      </c>
      <c r="B7" s="14">
        <v>767315.13000000012</v>
      </c>
      <c r="C7" s="14">
        <v>767315.13000000012</v>
      </c>
      <c r="D7" s="12">
        <v>0.30214872770526618</v>
      </c>
      <c r="E7" s="9">
        <v>17</v>
      </c>
      <c r="F7" s="9">
        <v>17</v>
      </c>
      <c r="G7" s="16">
        <v>327.70588235294116</v>
      </c>
    </row>
    <row r="8" spans="1:7" x14ac:dyDescent="0.3">
      <c r="A8" s="11" t="s">
        <v>133</v>
      </c>
      <c r="B8" s="14">
        <v>1006316.7400000002</v>
      </c>
      <c r="C8" s="14">
        <v>1003889.5400000003</v>
      </c>
      <c r="D8" s="12">
        <v>0.39530557317125359</v>
      </c>
      <c r="E8" s="9">
        <v>269</v>
      </c>
      <c r="F8" s="9">
        <v>269</v>
      </c>
      <c r="G8" s="16">
        <v>229.67657992565057</v>
      </c>
    </row>
    <row r="9" spans="1:7" x14ac:dyDescent="0.3">
      <c r="A9" s="11" t="s">
        <v>207</v>
      </c>
      <c r="B9" s="14">
        <v>2579175.1099999971</v>
      </c>
      <c r="C9" s="14">
        <v>2539527.9199999971</v>
      </c>
      <c r="D9" s="12">
        <v>1</v>
      </c>
      <c r="E9" s="9">
        <v>461</v>
      </c>
      <c r="F9" s="9">
        <v>461</v>
      </c>
      <c r="G9" s="16">
        <v>231.1409978308026</v>
      </c>
    </row>
  </sheetData>
  <mergeCells count="1">
    <mergeCell ref="A1:B1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H10" sqref="H10"/>
    </sheetView>
  </sheetViews>
  <sheetFormatPr defaultRowHeight="14.4" x14ac:dyDescent="0.3"/>
  <cols>
    <col min="1" max="1" width="28.44140625" customWidth="1"/>
    <col min="2" max="2" width="13.5546875" customWidth="1"/>
    <col min="3" max="3" width="8.77734375" customWidth="1"/>
    <col min="4" max="5" width="9.77734375" customWidth="1"/>
    <col min="6" max="6" width="10" customWidth="1"/>
    <col min="7" max="7" width="17" customWidth="1"/>
    <col min="8" max="8" width="23.44140625" customWidth="1"/>
    <col min="9" max="9" width="18" customWidth="1"/>
    <col min="10" max="10" width="23.44140625" customWidth="1"/>
    <col min="11" max="11" width="18" customWidth="1"/>
    <col min="12" max="12" width="28.21875" customWidth="1"/>
    <col min="13" max="13" width="22.77734375" customWidth="1"/>
    <col min="14" max="14" width="4.109375" customWidth="1"/>
    <col min="15" max="17" width="5.109375" customWidth="1"/>
    <col min="18" max="19" width="6" customWidth="1"/>
    <col min="20" max="20" width="6.5546875" customWidth="1"/>
    <col min="21" max="21" width="5.109375" customWidth="1"/>
    <col min="22" max="22" width="6" customWidth="1"/>
    <col min="23" max="24" width="7" customWidth="1"/>
    <col min="25" max="26" width="5.109375" customWidth="1"/>
    <col min="27" max="27" width="7" customWidth="1"/>
    <col min="28" max="28" width="6" customWidth="1"/>
    <col min="29" max="29" width="7" customWidth="1"/>
    <col min="30" max="30" width="6.5546875" customWidth="1"/>
    <col min="31" max="31" width="6" customWidth="1"/>
    <col min="32" max="33" width="7" customWidth="1"/>
    <col min="34" max="34" width="5.109375" customWidth="1"/>
    <col min="35" max="35" width="7" customWidth="1"/>
    <col min="36" max="36" width="5.109375" customWidth="1"/>
    <col min="37" max="37" width="7" customWidth="1"/>
    <col min="38" max="38" width="5.109375" customWidth="1"/>
    <col min="39" max="39" width="6.5546875" customWidth="1"/>
    <col min="40" max="42" width="5.109375" customWidth="1"/>
    <col min="43" max="44" width="6.5546875" customWidth="1"/>
    <col min="45" max="46" width="5.109375" customWidth="1"/>
    <col min="47" max="47" width="7" customWidth="1"/>
    <col min="48" max="48" width="6.5546875" customWidth="1"/>
    <col min="49" max="49" width="5.109375" customWidth="1"/>
    <col min="50" max="50" width="6.5546875" customWidth="1"/>
    <col min="51" max="52" width="7" customWidth="1"/>
    <col min="53" max="55" width="5.109375" customWidth="1"/>
    <col min="56" max="56" width="6.5546875" customWidth="1"/>
    <col min="57" max="57" width="7" customWidth="1"/>
    <col min="58" max="58" width="6.5546875" customWidth="1"/>
    <col min="59" max="59" width="6" customWidth="1"/>
    <col min="60" max="60" width="7" customWidth="1"/>
    <col min="61" max="62" width="5.109375" customWidth="1"/>
    <col min="63" max="63" width="7" customWidth="1"/>
    <col min="64" max="64" width="5.109375" customWidth="1"/>
    <col min="65" max="66" width="7" customWidth="1"/>
    <col min="67" max="67" width="5.109375" customWidth="1"/>
    <col min="68" max="68" width="7" customWidth="1"/>
    <col min="69" max="69" width="5.109375" customWidth="1"/>
    <col min="70" max="70" width="6.5546875" customWidth="1"/>
    <col min="71" max="71" width="5.109375" customWidth="1"/>
    <col min="72" max="73" width="7" customWidth="1"/>
    <col min="74" max="76" width="5.109375" customWidth="1"/>
    <col min="77" max="77" width="7" customWidth="1"/>
    <col min="78" max="78" width="6.5546875" customWidth="1"/>
    <col min="79" max="80" width="5.109375" customWidth="1"/>
    <col min="81" max="81" width="7" customWidth="1"/>
    <col min="82" max="83" width="5.109375" customWidth="1"/>
    <col min="84" max="86" width="7" customWidth="1"/>
    <col min="87" max="87" width="6.5546875" customWidth="1"/>
    <col min="88" max="88" width="7" customWidth="1"/>
    <col min="89" max="89" width="5.109375" customWidth="1"/>
    <col min="90" max="91" width="7" customWidth="1"/>
    <col min="92" max="92" width="6.5546875" customWidth="1"/>
    <col min="93" max="94" width="6" customWidth="1"/>
    <col min="95" max="95" width="6.5546875" customWidth="1"/>
    <col min="96" max="96" width="6" customWidth="1"/>
    <col min="97" max="98" width="5.109375" customWidth="1"/>
    <col min="99" max="99" width="6.5546875" customWidth="1"/>
    <col min="100" max="100" width="7" customWidth="1"/>
    <col min="101" max="101" width="5.109375" customWidth="1"/>
    <col min="102" max="102" width="6.5546875" customWidth="1"/>
    <col min="103" max="103" width="8" customWidth="1"/>
    <col min="104" max="104" width="7" customWidth="1"/>
    <col min="105" max="110" width="6.5546875" customWidth="1"/>
    <col min="111" max="111" width="7" customWidth="1"/>
    <col min="112" max="113" width="6.5546875" customWidth="1"/>
    <col min="114" max="114" width="8" customWidth="1"/>
    <col min="115" max="116" width="6.5546875" customWidth="1"/>
    <col min="117" max="117" width="7" customWidth="1"/>
    <col min="118" max="118" width="6.5546875" customWidth="1"/>
    <col min="119" max="119" width="8" customWidth="1"/>
    <col min="120" max="122" width="7" customWidth="1"/>
    <col min="123" max="123" width="8" customWidth="1"/>
    <col min="124" max="124" width="6.5546875" customWidth="1"/>
    <col min="125" max="125" width="8" customWidth="1"/>
    <col min="126" max="126" width="6.5546875" customWidth="1"/>
    <col min="127" max="127" width="8" customWidth="1"/>
    <col min="128" max="129" width="6.5546875" customWidth="1"/>
    <col min="130" max="130" width="8" customWidth="1"/>
    <col min="131" max="132" width="6.5546875" customWidth="1"/>
    <col min="133" max="135" width="7" customWidth="1"/>
    <col min="136" max="137" width="8" customWidth="1"/>
    <col min="138" max="138" width="6.5546875" customWidth="1"/>
    <col min="139" max="139" width="7" customWidth="1"/>
    <col min="140" max="142" width="8" customWidth="1"/>
    <col min="143" max="144" width="6.5546875" customWidth="1"/>
    <col min="145" max="148" width="8" customWidth="1"/>
    <col min="149" max="151" width="6.5546875" customWidth="1"/>
    <col min="152" max="152" width="8" customWidth="1"/>
    <col min="153" max="153" width="6.5546875" customWidth="1"/>
    <col min="154" max="155" width="7" customWidth="1"/>
    <col min="156" max="157" width="6.5546875" customWidth="1"/>
    <col min="158" max="158" width="8" customWidth="1"/>
    <col min="159" max="162" width="6.5546875" customWidth="1"/>
    <col min="163" max="163" width="8" customWidth="1"/>
    <col min="164" max="164" width="7" customWidth="1"/>
    <col min="165" max="165" width="6.5546875" customWidth="1"/>
    <col min="166" max="166" width="7" customWidth="1"/>
    <col min="167" max="167" width="8" customWidth="1"/>
    <col min="168" max="168" width="7" customWidth="1"/>
    <col min="169" max="170" width="8" customWidth="1"/>
    <col min="171" max="171" width="6.5546875" customWidth="1"/>
    <col min="172" max="175" width="8" customWidth="1"/>
    <col min="176" max="176" width="7" customWidth="1"/>
    <col min="177" max="177" width="6.5546875" customWidth="1"/>
    <col min="178" max="178" width="7.5546875" customWidth="1"/>
    <col min="179" max="179" width="8" customWidth="1"/>
    <col min="180" max="180" width="7" customWidth="1"/>
    <col min="181" max="181" width="8" customWidth="1"/>
    <col min="182" max="182" width="6.5546875" customWidth="1"/>
    <col min="183" max="183" width="8" customWidth="1"/>
    <col min="184" max="184" width="7.5546875" customWidth="1"/>
    <col min="185" max="185" width="6.5546875" customWidth="1"/>
    <col min="186" max="186" width="7" customWidth="1"/>
    <col min="187" max="190" width="8" customWidth="1"/>
    <col min="191" max="192" width="6.5546875" customWidth="1"/>
    <col min="193" max="194" width="8" customWidth="1"/>
    <col min="195" max="195" width="6.5546875" customWidth="1"/>
    <col min="196" max="196" width="7" customWidth="1"/>
    <col min="197" max="198" width="6.5546875" customWidth="1"/>
    <col min="199" max="200" width="8" customWidth="1"/>
    <col min="201" max="202" width="6.5546875" customWidth="1"/>
    <col min="203" max="204" width="7.5546875" customWidth="1"/>
    <col min="205" max="206" width="7" customWidth="1"/>
    <col min="207" max="207" width="6.5546875" customWidth="1"/>
    <col min="208" max="210" width="8" customWidth="1"/>
    <col min="211" max="212" width="6.5546875" customWidth="1"/>
    <col min="213" max="214" width="8" customWidth="1"/>
    <col min="215" max="218" width="6.5546875" customWidth="1"/>
    <col min="219" max="219" width="8" customWidth="1"/>
    <col min="220" max="220" width="6.5546875" customWidth="1"/>
    <col min="221" max="221" width="7" customWidth="1"/>
    <col min="222" max="222" width="8" customWidth="1"/>
    <col min="223" max="223" width="6.5546875" customWidth="1"/>
    <col min="224" max="224" width="7" customWidth="1"/>
    <col min="225" max="226" width="7.5546875" customWidth="1"/>
    <col min="227" max="228" width="9" bestFit="1" customWidth="1"/>
    <col min="229" max="229" width="7.5546875" customWidth="1"/>
    <col min="230" max="230" width="8" customWidth="1"/>
    <col min="231" max="231" width="9" bestFit="1" customWidth="1"/>
    <col min="232" max="232" width="7.5546875" customWidth="1"/>
    <col min="233" max="233" width="9" bestFit="1" customWidth="1"/>
    <col min="234" max="234" width="7.5546875" customWidth="1"/>
    <col min="235" max="235" width="9" bestFit="1" customWidth="1"/>
    <col min="236" max="236" width="8" customWidth="1"/>
    <col min="237" max="243" width="9" bestFit="1" customWidth="1"/>
    <col min="244" max="244" width="10" bestFit="1" customWidth="1"/>
    <col min="245" max="245" width="12.77734375" bestFit="1" customWidth="1"/>
    <col min="246" max="246" width="17" bestFit="1" customWidth="1"/>
  </cols>
  <sheetData>
    <row r="1" spans="1:8" ht="20.399999999999999" x14ac:dyDescent="0.3">
      <c r="A1" s="20" t="s">
        <v>203</v>
      </c>
      <c r="B1" s="20"/>
      <c r="C1" s="20"/>
      <c r="D1" s="20"/>
      <c r="E1" s="20"/>
      <c r="F1" s="20"/>
      <c r="G1" s="20"/>
      <c r="H1" s="20"/>
    </row>
    <row r="3" spans="1:8" x14ac:dyDescent="0.3">
      <c r="A3" s="10" t="s">
        <v>214</v>
      </c>
      <c r="B3" s="10" t="s">
        <v>7</v>
      </c>
      <c r="H3" s="6"/>
    </row>
    <row r="4" spans="1:8" x14ac:dyDescent="0.3">
      <c r="A4" s="10" t="s">
        <v>215</v>
      </c>
      <c r="B4" t="s">
        <v>196</v>
      </c>
      <c r="C4" t="s">
        <v>33</v>
      </c>
      <c r="D4" t="s">
        <v>31</v>
      </c>
      <c r="E4" t="s">
        <v>29</v>
      </c>
      <c r="F4" t="s">
        <v>13</v>
      </c>
      <c r="G4" t="s">
        <v>201</v>
      </c>
      <c r="H4" s="6" t="s">
        <v>204</v>
      </c>
    </row>
    <row r="5" spans="1:8" x14ac:dyDescent="0.3">
      <c r="A5" s="11" t="s">
        <v>10</v>
      </c>
      <c r="B5" s="15"/>
      <c r="C5" s="15">
        <v>6302.41</v>
      </c>
      <c r="D5" s="15">
        <v>6118.84</v>
      </c>
      <c r="E5" s="15">
        <v>6118.84</v>
      </c>
      <c r="F5" s="15">
        <v>56544.999999999985</v>
      </c>
      <c r="G5" s="15">
        <v>75085.089999999982</v>
      </c>
      <c r="H5" s="18">
        <f>IF(F5=0,0,F5/G5)</f>
        <v>0.75307894017307564</v>
      </c>
    </row>
    <row r="6" spans="1:8" x14ac:dyDescent="0.3">
      <c r="A6" s="11" t="s">
        <v>34</v>
      </c>
      <c r="B6" s="15"/>
      <c r="C6" s="15">
        <v>500</v>
      </c>
      <c r="D6" s="15">
        <v>20521.399999999998</v>
      </c>
      <c r="E6" s="15">
        <v>25926.35</v>
      </c>
      <c r="F6" s="15">
        <v>598138.63000000024</v>
      </c>
      <c r="G6" s="15">
        <v>645086.38000000024</v>
      </c>
      <c r="H6" s="18">
        <f t="shared" ref="H6:H10" si="0">IF(F6=0,0,F6/G6)</f>
        <v>0.92722253723602099</v>
      </c>
    </row>
    <row r="7" spans="1:8" x14ac:dyDescent="0.3">
      <c r="A7" s="11" t="s">
        <v>124</v>
      </c>
      <c r="B7" s="15"/>
      <c r="C7" s="15"/>
      <c r="D7" s="15"/>
      <c r="E7" s="15">
        <v>250</v>
      </c>
      <c r="F7" s="15">
        <v>47901.78</v>
      </c>
      <c r="G7" s="15">
        <v>48151.78</v>
      </c>
      <c r="H7" s="18">
        <f t="shared" si="0"/>
        <v>0.99480808393791464</v>
      </c>
    </row>
    <row r="8" spans="1:8" x14ac:dyDescent="0.3">
      <c r="A8" s="11" t="s">
        <v>126</v>
      </c>
      <c r="B8" s="15"/>
      <c r="C8" s="15"/>
      <c r="D8" s="15"/>
      <c r="E8" s="15">
        <v>607872.01</v>
      </c>
      <c r="F8" s="15">
        <v>159443.12000000002</v>
      </c>
      <c r="G8" s="15">
        <v>767315.13</v>
      </c>
      <c r="H8" s="18">
        <f t="shared" si="0"/>
        <v>0.20779353067102954</v>
      </c>
    </row>
    <row r="9" spans="1:8" x14ac:dyDescent="0.3">
      <c r="A9" s="11" t="s">
        <v>133</v>
      </c>
      <c r="B9" s="15">
        <v>-15089.4</v>
      </c>
      <c r="C9" s="15">
        <v>1861.25</v>
      </c>
      <c r="D9" s="15">
        <v>14276.93</v>
      </c>
      <c r="E9" s="15">
        <v>-425.65999999999985</v>
      </c>
      <c r="F9" s="15">
        <v>1003266.4200000004</v>
      </c>
      <c r="G9" s="15">
        <v>1003889.5400000004</v>
      </c>
      <c r="H9" s="18">
        <f t="shared" si="0"/>
        <v>0.99937929425980476</v>
      </c>
    </row>
    <row r="10" spans="1:8" x14ac:dyDescent="0.3">
      <c r="A10" s="11" t="s">
        <v>201</v>
      </c>
      <c r="B10" s="15">
        <v>-15089.4</v>
      </c>
      <c r="C10" s="15">
        <v>8663.66</v>
      </c>
      <c r="D10" s="15">
        <v>40917.17</v>
      </c>
      <c r="E10" s="15">
        <v>639741.53999999992</v>
      </c>
      <c r="F10" s="15">
        <v>1865294.9500000007</v>
      </c>
      <c r="G10" s="15">
        <v>2539527.9200000009</v>
      </c>
      <c r="H10" s="21">
        <f>IF(F10=0,0,F10/G10)</f>
        <v>0.73450460430456699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68"/>
  <sheetViews>
    <sheetView workbookViewId="0">
      <selection activeCell="A3" sqref="A3"/>
    </sheetView>
  </sheetViews>
  <sheetFormatPr defaultRowHeight="14.4" x14ac:dyDescent="0.3"/>
  <cols>
    <col min="1" max="1" width="39" bestFit="1" customWidth="1"/>
    <col min="2" max="2" width="15.109375" bestFit="1" customWidth="1"/>
    <col min="3" max="3" width="19.21875" bestFit="1" customWidth="1"/>
    <col min="4" max="4" width="20.21875" bestFit="1" customWidth="1"/>
    <col min="5" max="5" width="23.44140625" bestFit="1" customWidth="1"/>
    <col min="6" max="6" width="20.21875" bestFit="1" customWidth="1"/>
  </cols>
  <sheetData>
    <row r="3" spans="1:6" x14ac:dyDescent="0.3">
      <c r="A3" s="10" t="s">
        <v>220</v>
      </c>
      <c r="B3" t="s">
        <v>200</v>
      </c>
      <c r="C3" t="s">
        <v>201</v>
      </c>
      <c r="D3" t="s">
        <v>210</v>
      </c>
      <c r="E3" t="s">
        <v>202</v>
      </c>
      <c r="F3" t="s">
        <v>219</v>
      </c>
    </row>
    <row r="4" spans="1:6" x14ac:dyDescent="0.3">
      <c r="A4" s="11" t="s">
        <v>175</v>
      </c>
      <c r="B4" s="9">
        <v>1</v>
      </c>
      <c r="C4" s="26">
        <v>617438.82999999996</v>
      </c>
      <c r="D4" s="12">
        <v>0.24313134151326846</v>
      </c>
      <c r="E4" s="26">
        <v>617438.82999999996</v>
      </c>
      <c r="F4" s="9">
        <v>1</v>
      </c>
    </row>
    <row r="5" spans="1:6" x14ac:dyDescent="0.3">
      <c r="A5" s="11" t="s">
        <v>131</v>
      </c>
      <c r="B5" s="9">
        <v>1</v>
      </c>
      <c r="C5" s="26">
        <v>515291.08</v>
      </c>
      <c r="D5" s="12">
        <v>0.20290821610655901</v>
      </c>
      <c r="E5" s="26">
        <v>515291.08</v>
      </c>
      <c r="F5" s="9">
        <v>2</v>
      </c>
    </row>
    <row r="6" spans="1:6" x14ac:dyDescent="0.3">
      <c r="A6" s="11" t="s">
        <v>52</v>
      </c>
      <c r="B6" s="9">
        <v>23</v>
      </c>
      <c r="C6" s="26">
        <v>316216.70999999996</v>
      </c>
      <c r="D6" s="12">
        <v>0.12451791039966205</v>
      </c>
      <c r="E6" s="26">
        <v>13748.552608695651</v>
      </c>
      <c r="F6" s="9">
        <v>3</v>
      </c>
    </row>
    <row r="7" spans="1:6" x14ac:dyDescent="0.3">
      <c r="A7" s="11" t="s">
        <v>47</v>
      </c>
      <c r="B7" s="9">
        <v>14</v>
      </c>
      <c r="C7" s="26">
        <v>93154.87999999999</v>
      </c>
      <c r="D7" s="12">
        <v>3.668196725318934E-2</v>
      </c>
      <c r="E7" s="26">
        <v>6653.9199999999992</v>
      </c>
      <c r="F7" s="9">
        <v>4</v>
      </c>
    </row>
    <row r="8" spans="1:6" x14ac:dyDescent="0.3">
      <c r="A8" s="11" t="s">
        <v>53</v>
      </c>
      <c r="B8" s="9">
        <v>3</v>
      </c>
      <c r="C8" s="26">
        <v>92635.939999999988</v>
      </c>
      <c r="D8" s="12">
        <v>3.6477622187355216E-2</v>
      </c>
      <c r="E8" s="26">
        <v>30878.646666666664</v>
      </c>
      <c r="F8" s="9">
        <v>5</v>
      </c>
    </row>
    <row r="9" spans="1:6" x14ac:dyDescent="0.3">
      <c r="A9" s="11" t="s">
        <v>149</v>
      </c>
      <c r="B9" s="9">
        <v>33</v>
      </c>
      <c r="C9" s="26">
        <v>83111.459999999963</v>
      </c>
      <c r="D9" s="12">
        <v>3.2727129851756076E-2</v>
      </c>
      <c r="E9" s="26">
        <v>2518.52909090909</v>
      </c>
      <c r="F9" s="9">
        <v>6</v>
      </c>
    </row>
    <row r="10" spans="1:6" x14ac:dyDescent="0.3">
      <c r="A10" s="11" t="s">
        <v>129</v>
      </c>
      <c r="B10" s="9">
        <v>1</v>
      </c>
      <c r="C10" s="26">
        <v>77179.850000000006</v>
      </c>
      <c r="D10" s="12">
        <v>3.0391416212506163E-2</v>
      </c>
      <c r="E10" s="26">
        <v>77179.850000000006</v>
      </c>
      <c r="F10" s="9">
        <v>7</v>
      </c>
    </row>
    <row r="11" spans="1:6" x14ac:dyDescent="0.3">
      <c r="A11" s="11" t="s">
        <v>85</v>
      </c>
      <c r="B11" s="9">
        <v>1</v>
      </c>
      <c r="C11" s="26">
        <v>77179.850000000006</v>
      </c>
      <c r="D11" s="12">
        <v>3.0391416212506163E-2</v>
      </c>
      <c r="E11" s="26">
        <v>77179.850000000006</v>
      </c>
      <c r="F11" s="9">
        <v>7</v>
      </c>
    </row>
    <row r="12" spans="1:6" x14ac:dyDescent="0.3">
      <c r="A12" s="11" t="s">
        <v>17</v>
      </c>
      <c r="B12" s="9">
        <v>15</v>
      </c>
      <c r="C12" s="26">
        <v>70774.089999999982</v>
      </c>
      <c r="D12" s="12">
        <v>2.7868994643697409E-2</v>
      </c>
      <c r="E12" s="26">
        <v>4718.2726666666658</v>
      </c>
      <c r="F12" s="9">
        <v>8</v>
      </c>
    </row>
    <row r="13" spans="1:6" x14ac:dyDescent="0.3">
      <c r="A13" s="11" t="s">
        <v>146</v>
      </c>
      <c r="B13" s="9">
        <v>43</v>
      </c>
      <c r="C13" s="26">
        <v>66286.600000000006</v>
      </c>
      <c r="D13" s="12">
        <v>2.6101937875130762E-2</v>
      </c>
      <c r="E13" s="26">
        <v>1541.5488372093025</v>
      </c>
      <c r="F13" s="9">
        <v>9</v>
      </c>
    </row>
    <row r="14" spans="1:6" x14ac:dyDescent="0.3">
      <c r="A14" s="11" t="s">
        <v>68</v>
      </c>
      <c r="B14" s="9">
        <v>32</v>
      </c>
      <c r="C14" s="26">
        <v>63592.600000000006</v>
      </c>
      <c r="D14" s="12">
        <v>2.5041110790386602E-2</v>
      </c>
      <c r="E14" s="26">
        <v>1987.2687500000002</v>
      </c>
      <c r="F14" s="9">
        <v>10</v>
      </c>
    </row>
    <row r="15" spans="1:6" x14ac:dyDescent="0.3">
      <c r="A15" s="11" t="s">
        <v>40</v>
      </c>
      <c r="B15" s="9">
        <v>9</v>
      </c>
      <c r="C15" s="26">
        <v>35164.75</v>
      </c>
      <c r="D15" s="12">
        <v>1.3846963336398373E-2</v>
      </c>
      <c r="E15" s="26">
        <v>3907.1944444444443</v>
      </c>
      <c r="F15" s="9">
        <v>11</v>
      </c>
    </row>
    <row r="16" spans="1:6" x14ac:dyDescent="0.3">
      <c r="A16" s="11" t="s">
        <v>109</v>
      </c>
      <c r="B16" s="9">
        <v>5</v>
      </c>
      <c r="C16" s="26">
        <v>31151.949999999997</v>
      </c>
      <c r="D16" s="12">
        <v>1.2266827135336247E-2</v>
      </c>
      <c r="E16" s="26">
        <v>6230.3899999999994</v>
      </c>
      <c r="F16" s="9">
        <v>12</v>
      </c>
    </row>
    <row r="17" spans="1:6" x14ac:dyDescent="0.3">
      <c r="A17" s="11" t="s">
        <v>88</v>
      </c>
      <c r="B17" s="9">
        <v>9</v>
      </c>
      <c r="C17" s="26">
        <v>30760.68</v>
      </c>
      <c r="D17" s="12">
        <v>1.2112755192705271E-2</v>
      </c>
      <c r="E17" s="26">
        <v>3417.8533333333335</v>
      </c>
      <c r="F17" s="9">
        <v>13</v>
      </c>
    </row>
    <row r="18" spans="1:6" x14ac:dyDescent="0.3">
      <c r="A18" s="11" t="s">
        <v>73</v>
      </c>
      <c r="B18" s="9">
        <v>24</v>
      </c>
      <c r="C18" s="26">
        <v>30296</v>
      </c>
      <c r="D18" s="12">
        <v>1.1929776302675978E-2</v>
      </c>
      <c r="E18" s="26">
        <v>1262.3333333333333</v>
      </c>
      <c r="F18" s="9">
        <v>14</v>
      </c>
    </row>
    <row r="19" spans="1:6" x14ac:dyDescent="0.3">
      <c r="A19" s="11" t="s">
        <v>58</v>
      </c>
      <c r="B19" s="9">
        <v>23</v>
      </c>
      <c r="C19" s="26">
        <v>29010.710000000006</v>
      </c>
      <c r="D19" s="12">
        <v>1.1423662552211682E-2</v>
      </c>
      <c r="E19" s="26">
        <v>1261.3352173913047</v>
      </c>
      <c r="F19" s="9">
        <v>15</v>
      </c>
    </row>
    <row r="20" spans="1:6" x14ac:dyDescent="0.3">
      <c r="A20" s="11" t="s">
        <v>62</v>
      </c>
      <c r="B20" s="9">
        <v>4</v>
      </c>
      <c r="C20" s="26">
        <v>24484.449999999997</v>
      </c>
      <c r="D20" s="12">
        <v>9.6413391666904814E-3</v>
      </c>
      <c r="E20" s="26">
        <v>6121.1124999999993</v>
      </c>
      <c r="F20" s="9">
        <v>16</v>
      </c>
    </row>
    <row r="21" spans="1:6" x14ac:dyDescent="0.3">
      <c r="A21" s="11" t="s">
        <v>36</v>
      </c>
      <c r="B21" s="9">
        <v>6</v>
      </c>
      <c r="C21" s="26">
        <v>23261</v>
      </c>
      <c r="D21" s="12">
        <v>9.1595763987505265E-3</v>
      </c>
      <c r="E21" s="26">
        <v>3876.8333333333335</v>
      </c>
      <c r="F21" s="9">
        <v>17</v>
      </c>
    </row>
    <row r="22" spans="1:6" x14ac:dyDescent="0.3">
      <c r="A22" s="11" t="s">
        <v>160</v>
      </c>
      <c r="B22" s="9">
        <v>6</v>
      </c>
      <c r="C22" s="26">
        <v>21265.48</v>
      </c>
      <c r="D22" s="12">
        <v>8.3737925590516883E-3</v>
      </c>
      <c r="E22" s="26">
        <v>3544.2466666666664</v>
      </c>
      <c r="F22" s="9">
        <v>18</v>
      </c>
    </row>
    <row r="23" spans="1:6" x14ac:dyDescent="0.3">
      <c r="A23" s="11" t="s">
        <v>89</v>
      </c>
      <c r="B23" s="9">
        <v>3</v>
      </c>
      <c r="C23" s="26">
        <v>20724.379999999997</v>
      </c>
      <c r="D23" s="12">
        <v>8.1607214619636905E-3</v>
      </c>
      <c r="E23" s="26">
        <v>6908.1266666666661</v>
      </c>
      <c r="F23" s="9">
        <v>19</v>
      </c>
    </row>
    <row r="24" spans="1:6" x14ac:dyDescent="0.3">
      <c r="A24" s="11" t="s">
        <v>140</v>
      </c>
      <c r="B24" s="9">
        <v>14</v>
      </c>
      <c r="C24" s="26">
        <v>20403.740000000005</v>
      </c>
      <c r="D24" s="12">
        <v>8.0344617750845674E-3</v>
      </c>
      <c r="E24" s="26">
        <v>1457.4100000000003</v>
      </c>
      <c r="F24" s="9">
        <v>20</v>
      </c>
    </row>
    <row r="25" spans="1:6" x14ac:dyDescent="0.3">
      <c r="A25" s="11" t="s">
        <v>57</v>
      </c>
      <c r="B25" s="9">
        <v>1</v>
      </c>
      <c r="C25" s="26">
        <v>12825</v>
      </c>
      <c r="D25" s="12">
        <v>5.0501512107809423E-3</v>
      </c>
      <c r="E25" s="26">
        <v>12825</v>
      </c>
      <c r="F25" s="9">
        <v>21</v>
      </c>
    </row>
    <row r="26" spans="1:6" x14ac:dyDescent="0.3">
      <c r="A26" s="11" t="s">
        <v>134</v>
      </c>
      <c r="B26" s="9">
        <v>1</v>
      </c>
      <c r="C26" s="26">
        <v>11746.8</v>
      </c>
      <c r="D26" s="12">
        <v>4.6255841124991474E-3</v>
      </c>
      <c r="E26" s="26">
        <v>11746.8</v>
      </c>
      <c r="F26" s="9">
        <v>22</v>
      </c>
    </row>
    <row r="27" spans="1:6" x14ac:dyDescent="0.3">
      <c r="A27" s="11" t="s">
        <v>151</v>
      </c>
      <c r="B27" s="9">
        <v>6</v>
      </c>
      <c r="C27" s="26">
        <v>11478.75</v>
      </c>
      <c r="D27" s="12">
        <v>4.5200329988890247E-3</v>
      </c>
      <c r="E27" s="26">
        <v>1913.125</v>
      </c>
      <c r="F27" s="9">
        <v>23</v>
      </c>
    </row>
    <row r="28" spans="1:6" x14ac:dyDescent="0.3">
      <c r="A28" s="11" t="s">
        <v>154</v>
      </c>
      <c r="B28" s="9">
        <v>1</v>
      </c>
      <c r="C28" s="26">
        <v>10923.61</v>
      </c>
      <c r="D28" s="12">
        <v>4.3014333152123826E-3</v>
      </c>
      <c r="E28" s="26">
        <v>10923.61</v>
      </c>
      <c r="F28" s="9">
        <v>24</v>
      </c>
    </row>
    <row r="29" spans="1:6" x14ac:dyDescent="0.3">
      <c r="A29" s="11" t="s">
        <v>97</v>
      </c>
      <c r="B29" s="9">
        <v>2</v>
      </c>
      <c r="C29" s="26">
        <v>10229.620000000001</v>
      </c>
      <c r="D29" s="12">
        <v>4.0281581153082998E-3</v>
      </c>
      <c r="E29" s="26">
        <v>5114.8100000000004</v>
      </c>
      <c r="F29" s="9">
        <v>25</v>
      </c>
    </row>
    <row r="30" spans="1:6" x14ac:dyDescent="0.3">
      <c r="A30" s="11" t="s">
        <v>50</v>
      </c>
      <c r="B30" s="9">
        <v>13</v>
      </c>
      <c r="C30" s="26">
        <v>9421.75</v>
      </c>
      <c r="D30" s="12">
        <v>3.7100399352963231E-3</v>
      </c>
      <c r="E30" s="26">
        <v>724.75</v>
      </c>
      <c r="F30" s="9">
        <v>26</v>
      </c>
    </row>
    <row r="31" spans="1:6" x14ac:dyDescent="0.3">
      <c r="A31" s="11" t="s">
        <v>15</v>
      </c>
      <c r="B31" s="9">
        <v>7</v>
      </c>
      <c r="C31" s="26">
        <v>9361</v>
      </c>
      <c r="D31" s="12">
        <v>3.6861181664031499E-3</v>
      </c>
      <c r="E31" s="26">
        <v>1337.2857142857142</v>
      </c>
      <c r="F31" s="9">
        <v>27</v>
      </c>
    </row>
    <row r="32" spans="1:6" x14ac:dyDescent="0.3">
      <c r="A32" s="11" t="s">
        <v>127</v>
      </c>
      <c r="B32" s="9">
        <v>1</v>
      </c>
      <c r="C32" s="26">
        <v>9125</v>
      </c>
      <c r="D32" s="12">
        <v>3.5931875086453098E-3</v>
      </c>
      <c r="E32" s="26">
        <v>9125</v>
      </c>
      <c r="F32" s="9">
        <v>28</v>
      </c>
    </row>
    <row r="33" spans="1:6" x14ac:dyDescent="0.3">
      <c r="A33" s="11" t="s">
        <v>71</v>
      </c>
      <c r="B33" s="9">
        <v>4</v>
      </c>
      <c r="C33" s="26">
        <v>8983.16</v>
      </c>
      <c r="D33" s="12">
        <v>3.5373346082369535E-3</v>
      </c>
      <c r="E33" s="26">
        <v>2245.79</v>
      </c>
      <c r="F33" s="9">
        <v>29</v>
      </c>
    </row>
    <row r="34" spans="1:6" x14ac:dyDescent="0.3">
      <c r="A34" s="11" t="s">
        <v>136</v>
      </c>
      <c r="B34" s="9">
        <v>16</v>
      </c>
      <c r="C34" s="26">
        <v>8510</v>
      </c>
      <c r="D34" s="12">
        <v>3.3510165149119547E-3</v>
      </c>
      <c r="E34" s="26">
        <v>531.875</v>
      </c>
      <c r="F34" s="9">
        <v>30</v>
      </c>
    </row>
    <row r="35" spans="1:6" x14ac:dyDescent="0.3">
      <c r="A35" s="11" t="s">
        <v>188</v>
      </c>
      <c r="B35" s="9">
        <v>3</v>
      </c>
      <c r="C35" s="26">
        <v>8160</v>
      </c>
      <c r="D35" s="12">
        <v>3.2131956241693948E-3</v>
      </c>
      <c r="E35" s="26">
        <v>2720</v>
      </c>
      <c r="F35" s="9">
        <v>31</v>
      </c>
    </row>
    <row r="36" spans="1:6" x14ac:dyDescent="0.3">
      <c r="A36" s="11" t="s">
        <v>118</v>
      </c>
      <c r="B36" s="9">
        <v>1</v>
      </c>
      <c r="C36" s="26">
        <v>7443.75</v>
      </c>
      <c r="D36" s="12">
        <v>2.9311550156140846E-3</v>
      </c>
      <c r="E36" s="26">
        <v>7443.75</v>
      </c>
      <c r="F36" s="9">
        <v>32</v>
      </c>
    </row>
    <row r="37" spans="1:6" x14ac:dyDescent="0.3">
      <c r="A37" s="11" t="s">
        <v>157</v>
      </c>
      <c r="B37" s="9">
        <v>10</v>
      </c>
      <c r="C37" s="26">
        <v>7225</v>
      </c>
      <c r="D37" s="12">
        <v>2.8450169588999847E-3</v>
      </c>
      <c r="E37" s="26">
        <v>722.5</v>
      </c>
      <c r="F37" s="9">
        <v>33</v>
      </c>
    </row>
    <row r="38" spans="1:6" x14ac:dyDescent="0.3">
      <c r="A38" s="11" t="s">
        <v>42</v>
      </c>
      <c r="B38" s="9">
        <v>2</v>
      </c>
      <c r="C38" s="26">
        <v>7000.38</v>
      </c>
      <c r="D38" s="12">
        <v>2.7565674489611457E-3</v>
      </c>
      <c r="E38" s="26">
        <v>3500.19</v>
      </c>
      <c r="F38" s="9">
        <v>34</v>
      </c>
    </row>
    <row r="39" spans="1:6" x14ac:dyDescent="0.3">
      <c r="A39" s="11" t="s">
        <v>112</v>
      </c>
      <c r="B39" s="9">
        <v>3</v>
      </c>
      <c r="C39" s="26">
        <v>6819.75</v>
      </c>
      <c r="D39" s="12">
        <v>2.6854400561187783E-3</v>
      </c>
      <c r="E39" s="26">
        <v>2273.25</v>
      </c>
      <c r="F39" s="9">
        <v>35</v>
      </c>
    </row>
    <row r="40" spans="1:6" x14ac:dyDescent="0.3">
      <c r="A40" s="11" t="s">
        <v>122</v>
      </c>
      <c r="B40" s="9">
        <v>1</v>
      </c>
      <c r="C40" s="26">
        <v>6576.19</v>
      </c>
      <c r="D40" s="12">
        <v>2.5895324671208982E-3</v>
      </c>
      <c r="E40" s="26">
        <v>6576.19</v>
      </c>
      <c r="F40" s="9">
        <v>36</v>
      </c>
    </row>
    <row r="41" spans="1:6" x14ac:dyDescent="0.3">
      <c r="A41" s="11" t="s">
        <v>138</v>
      </c>
      <c r="B41" s="9">
        <v>15</v>
      </c>
      <c r="C41" s="26">
        <v>5790.9</v>
      </c>
      <c r="D41" s="12">
        <v>2.2803057034316847E-3</v>
      </c>
      <c r="E41" s="26">
        <v>386.06</v>
      </c>
      <c r="F41" s="9">
        <v>37</v>
      </c>
    </row>
    <row r="42" spans="1:6" x14ac:dyDescent="0.3">
      <c r="A42" s="11" t="s">
        <v>194</v>
      </c>
      <c r="B42" s="9">
        <v>1</v>
      </c>
      <c r="C42" s="26">
        <v>4825</v>
      </c>
      <c r="D42" s="12">
        <v>1.8999594223795748E-3</v>
      </c>
      <c r="E42" s="26">
        <v>4825</v>
      </c>
      <c r="F42" s="9">
        <v>38</v>
      </c>
    </row>
    <row r="43" spans="1:6" x14ac:dyDescent="0.3">
      <c r="A43" s="11" t="s">
        <v>181</v>
      </c>
      <c r="B43" s="9">
        <v>7</v>
      </c>
      <c r="C43" s="26">
        <v>4578.6600000000008</v>
      </c>
      <c r="D43" s="12">
        <v>1.802957141735226E-3</v>
      </c>
      <c r="E43" s="26">
        <v>654.09428571428577</v>
      </c>
      <c r="F43" s="9">
        <v>39</v>
      </c>
    </row>
    <row r="44" spans="1:6" x14ac:dyDescent="0.3">
      <c r="A44" s="11" t="s">
        <v>91</v>
      </c>
      <c r="B44" s="9">
        <v>1</v>
      </c>
      <c r="C44" s="26">
        <v>4550</v>
      </c>
      <c r="D44" s="12">
        <v>1.7916715796532777E-3</v>
      </c>
      <c r="E44" s="26">
        <v>4550</v>
      </c>
      <c r="F44" s="9">
        <v>40</v>
      </c>
    </row>
    <row r="45" spans="1:6" x14ac:dyDescent="0.3">
      <c r="A45" s="11" t="s">
        <v>125</v>
      </c>
      <c r="B45" s="9">
        <v>12</v>
      </c>
      <c r="C45" s="26">
        <v>3912</v>
      </c>
      <c r="D45" s="12">
        <v>1.5404437845282686E-3</v>
      </c>
      <c r="E45" s="26">
        <v>326</v>
      </c>
      <c r="F45" s="9">
        <v>41</v>
      </c>
    </row>
    <row r="46" spans="1:6" x14ac:dyDescent="0.3">
      <c r="A46" s="11" t="s">
        <v>155</v>
      </c>
      <c r="B46" s="9">
        <v>2</v>
      </c>
      <c r="C46" s="26">
        <v>3562.4</v>
      </c>
      <c r="D46" s="12">
        <v>1.4027804033751288E-3</v>
      </c>
      <c r="E46" s="26">
        <v>1781.2</v>
      </c>
      <c r="F46" s="9">
        <v>42</v>
      </c>
    </row>
    <row r="47" spans="1:6" x14ac:dyDescent="0.3">
      <c r="A47" s="11" t="s">
        <v>54</v>
      </c>
      <c r="B47" s="9">
        <v>1</v>
      </c>
      <c r="C47" s="26">
        <v>3500</v>
      </c>
      <c r="D47" s="12">
        <v>1.3782089074255983E-3</v>
      </c>
      <c r="E47" s="26">
        <v>3500</v>
      </c>
      <c r="F47" s="9">
        <v>43</v>
      </c>
    </row>
    <row r="48" spans="1:6" x14ac:dyDescent="0.3">
      <c r="A48" s="11" t="s">
        <v>46</v>
      </c>
      <c r="B48" s="9">
        <v>17</v>
      </c>
      <c r="C48" s="26">
        <v>3320</v>
      </c>
      <c r="D48" s="12">
        <v>1.3073295921865674E-3</v>
      </c>
      <c r="E48" s="26">
        <v>195.29411764705881</v>
      </c>
      <c r="F48" s="9">
        <v>44</v>
      </c>
    </row>
    <row r="49" spans="1:6" x14ac:dyDescent="0.3">
      <c r="A49" s="11" t="s">
        <v>111</v>
      </c>
      <c r="B49" s="9">
        <v>2</v>
      </c>
      <c r="C49" s="26">
        <v>3032</v>
      </c>
      <c r="D49" s="12">
        <v>1.1939226878041182E-3</v>
      </c>
      <c r="E49" s="26">
        <v>1516</v>
      </c>
      <c r="F49" s="9">
        <v>45</v>
      </c>
    </row>
    <row r="50" spans="1:6" x14ac:dyDescent="0.3">
      <c r="A50" s="11" t="s">
        <v>12</v>
      </c>
      <c r="B50" s="9">
        <v>7</v>
      </c>
      <c r="C50" s="26">
        <v>2950</v>
      </c>
      <c r="D50" s="12">
        <v>1.1616332219730042E-3</v>
      </c>
      <c r="E50" s="26">
        <v>421.42857142857144</v>
      </c>
      <c r="F50" s="9">
        <v>46</v>
      </c>
    </row>
    <row r="51" spans="1:6" x14ac:dyDescent="0.3">
      <c r="A51" s="11" t="s">
        <v>156</v>
      </c>
      <c r="B51" s="9">
        <v>13</v>
      </c>
      <c r="C51" s="26">
        <v>2813.2099999999996</v>
      </c>
      <c r="D51" s="12">
        <v>1.1077688801310762E-3</v>
      </c>
      <c r="E51" s="26">
        <v>216.40076923076919</v>
      </c>
      <c r="F51" s="9">
        <v>47</v>
      </c>
    </row>
    <row r="52" spans="1:6" x14ac:dyDescent="0.3">
      <c r="A52" s="11" t="s">
        <v>14</v>
      </c>
      <c r="B52" s="9">
        <v>8</v>
      </c>
      <c r="C52" s="26">
        <v>2400</v>
      </c>
      <c r="D52" s="12">
        <v>9.4505753652041025E-4</v>
      </c>
      <c r="E52" s="26">
        <v>300</v>
      </c>
      <c r="F52" s="9">
        <v>48</v>
      </c>
    </row>
    <row r="53" spans="1:6" x14ac:dyDescent="0.3">
      <c r="A53" s="11" t="s">
        <v>86</v>
      </c>
      <c r="B53" s="9">
        <v>1</v>
      </c>
      <c r="C53" s="26">
        <v>2360</v>
      </c>
      <c r="D53" s="12">
        <v>9.2930657757840337E-4</v>
      </c>
      <c r="E53" s="26">
        <v>2360</v>
      </c>
      <c r="F53" s="9">
        <v>49</v>
      </c>
    </row>
    <row r="54" spans="1:6" x14ac:dyDescent="0.3">
      <c r="A54" s="11" t="s">
        <v>72</v>
      </c>
      <c r="B54" s="9">
        <v>7</v>
      </c>
      <c r="C54" s="26">
        <v>994.16</v>
      </c>
      <c r="D54" s="12">
        <v>3.9147433354463793E-4</v>
      </c>
      <c r="E54" s="26">
        <v>142.02285714285713</v>
      </c>
      <c r="F54" s="9">
        <v>50</v>
      </c>
    </row>
    <row r="55" spans="1:6" x14ac:dyDescent="0.3">
      <c r="A55" s="11" t="s">
        <v>173</v>
      </c>
      <c r="B55" s="9">
        <v>4</v>
      </c>
      <c r="C55" s="26">
        <v>766.5200000000001</v>
      </c>
      <c r="D55" s="12">
        <v>3.0183562620567707E-4</v>
      </c>
      <c r="E55" s="26">
        <v>191.63000000000002</v>
      </c>
      <c r="F55" s="9">
        <v>51</v>
      </c>
    </row>
    <row r="56" spans="1:6" x14ac:dyDescent="0.3">
      <c r="A56" s="11" t="s">
        <v>75</v>
      </c>
      <c r="B56" s="9">
        <v>6</v>
      </c>
      <c r="C56" s="26">
        <v>642.56999999999994</v>
      </c>
      <c r="D56" s="12">
        <v>2.5302734218413331E-4</v>
      </c>
      <c r="E56" s="26">
        <v>107.09499999999998</v>
      </c>
      <c r="F56" s="9">
        <v>52</v>
      </c>
    </row>
    <row r="57" spans="1:6" x14ac:dyDescent="0.3">
      <c r="A57" s="11" t="s">
        <v>187</v>
      </c>
      <c r="B57" s="9">
        <v>1</v>
      </c>
      <c r="C57" s="26">
        <v>636.75</v>
      </c>
      <c r="D57" s="12">
        <v>2.5073557765807131E-4</v>
      </c>
      <c r="E57" s="26">
        <v>636.75</v>
      </c>
      <c r="F57" s="9">
        <v>53</v>
      </c>
    </row>
    <row r="58" spans="1:6" x14ac:dyDescent="0.3">
      <c r="A58" s="11" t="s">
        <v>158</v>
      </c>
      <c r="B58" s="9">
        <v>2</v>
      </c>
      <c r="C58" s="26">
        <v>600</v>
      </c>
      <c r="D58" s="12">
        <v>2.3626438413010256E-4</v>
      </c>
      <c r="E58" s="26">
        <v>300</v>
      </c>
      <c r="F58" s="9">
        <v>54</v>
      </c>
    </row>
    <row r="59" spans="1:6" x14ac:dyDescent="0.3">
      <c r="A59" s="11" t="s">
        <v>78</v>
      </c>
      <c r="B59" s="9">
        <v>2</v>
      </c>
      <c r="C59" s="26">
        <v>600</v>
      </c>
      <c r="D59" s="12">
        <v>2.3626438413010256E-4</v>
      </c>
      <c r="E59" s="26">
        <v>300</v>
      </c>
      <c r="F59" s="9">
        <v>54</v>
      </c>
    </row>
    <row r="60" spans="1:6" x14ac:dyDescent="0.3">
      <c r="A60" s="11" t="s">
        <v>120</v>
      </c>
      <c r="B60" s="9">
        <v>1</v>
      </c>
      <c r="C60" s="26">
        <v>575</v>
      </c>
      <c r="D60" s="12">
        <v>2.2642003479134829E-4</v>
      </c>
      <c r="E60" s="26">
        <v>575</v>
      </c>
      <c r="F60" s="9">
        <v>55</v>
      </c>
    </row>
    <row r="61" spans="1:6" x14ac:dyDescent="0.3">
      <c r="A61" s="11" t="s">
        <v>99</v>
      </c>
      <c r="B61" s="9">
        <v>1</v>
      </c>
      <c r="C61" s="26">
        <v>554.32000000000005</v>
      </c>
      <c r="D61" s="12">
        <v>2.1827678901833076E-4</v>
      </c>
      <c r="E61" s="26">
        <v>554.32000000000005</v>
      </c>
      <c r="F61" s="9">
        <v>56</v>
      </c>
    </row>
    <row r="62" spans="1:6" x14ac:dyDescent="0.3">
      <c r="A62" s="11" t="s">
        <v>105</v>
      </c>
      <c r="B62" s="9">
        <v>2</v>
      </c>
      <c r="C62" s="26">
        <v>450</v>
      </c>
      <c r="D62" s="12">
        <v>1.771982880975769E-4</v>
      </c>
      <c r="E62" s="26">
        <v>225</v>
      </c>
      <c r="F62" s="9">
        <v>57</v>
      </c>
    </row>
    <row r="63" spans="1:6" x14ac:dyDescent="0.3">
      <c r="A63" s="11" t="s">
        <v>96</v>
      </c>
      <c r="B63" s="9">
        <v>2</v>
      </c>
      <c r="C63" s="26">
        <v>253.3</v>
      </c>
      <c r="D63" s="12">
        <v>9.9742947500258301E-5</v>
      </c>
      <c r="E63" s="26">
        <v>126.65</v>
      </c>
      <c r="F63" s="9">
        <v>58</v>
      </c>
    </row>
    <row r="64" spans="1:6" x14ac:dyDescent="0.3">
      <c r="A64" s="11" t="s">
        <v>191</v>
      </c>
      <c r="B64" s="9">
        <v>1</v>
      </c>
      <c r="C64" s="26">
        <v>186.84</v>
      </c>
      <c r="D64" s="12">
        <v>7.3572729218113932E-5</v>
      </c>
      <c r="E64" s="26">
        <v>186.84</v>
      </c>
      <c r="F64" s="9">
        <v>59</v>
      </c>
    </row>
    <row r="65" spans="1:6" x14ac:dyDescent="0.3">
      <c r="A65" s="11" t="s">
        <v>80</v>
      </c>
      <c r="B65" s="9">
        <v>1</v>
      </c>
      <c r="C65" s="26">
        <v>172.12</v>
      </c>
      <c r="D65" s="12">
        <v>6.7776376327455427E-5</v>
      </c>
      <c r="E65" s="26">
        <v>172.12</v>
      </c>
      <c r="F65" s="9">
        <v>60</v>
      </c>
    </row>
    <row r="66" spans="1:6" x14ac:dyDescent="0.3">
      <c r="A66" s="11" t="s">
        <v>176</v>
      </c>
      <c r="B66" s="9">
        <v>1</v>
      </c>
      <c r="C66" s="26">
        <v>162.38</v>
      </c>
      <c r="D66" s="12">
        <v>6.3941017825076759E-5</v>
      </c>
      <c r="E66" s="26">
        <v>162.38</v>
      </c>
      <c r="F66" s="9">
        <v>61</v>
      </c>
    </row>
    <row r="67" spans="1:6" x14ac:dyDescent="0.3">
      <c r="A67" s="11" t="s">
        <v>67</v>
      </c>
      <c r="B67" s="9">
        <v>1</v>
      </c>
      <c r="C67" s="26">
        <v>125</v>
      </c>
      <c r="D67" s="12">
        <v>4.9221746693771364E-5</v>
      </c>
      <c r="E67" s="26">
        <v>125</v>
      </c>
      <c r="F67" s="9">
        <v>62</v>
      </c>
    </row>
    <row r="68" spans="1:6" x14ac:dyDescent="0.3">
      <c r="A68" s="11" t="s">
        <v>207</v>
      </c>
      <c r="B68" s="9">
        <v>461</v>
      </c>
      <c r="C68" s="26">
        <v>2539527.9199999985</v>
      </c>
      <c r="D68" s="12">
        <v>1</v>
      </c>
      <c r="E68" s="26">
        <v>5508.7373535791721</v>
      </c>
      <c r="F6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showGridLines="0" zoomScaleNormal="100" workbookViewId="0">
      <selection activeCell="C31" sqref="C31"/>
    </sheetView>
  </sheetViews>
  <sheetFormatPr defaultColWidth="8.5546875" defaultRowHeight="14.4" x14ac:dyDescent="0.3"/>
  <cols>
    <col min="1" max="1" width="30.44140625" bestFit="1" customWidth="1"/>
    <col min="2" max="2" width="13.5546875" bestFit="1" customWidth="1"/>
    <col min="3" max="3" width="18.5546875" bestFit="1" customWidth="1"/>
    <col min="4" max="4" width="13.6640625" bestFit="1" customWidth="1"/>
  </cols>
  <sheetData>
    <row r="1" spans="1:4" ht="14.4" customHeight="1" x14ac:dyDescent="0.3">
      <c r="A1" s="24" t="s">
        <v>218</v>
      </c>
      <c r="B1" s="24"/>
      <c r="C1" s="24"/>
      <c r="D1" s="24"/>
    </row>
    <row r="2" spans="1:4" ht="14.4" customHeight="1" thickBot="1" x14ac:dyDescent="0.35">
      <c r="A2" s="25"/>
      <c r="B2" s="25"/>
      <c r="C2" s="25"/>
      <c r="D2" s="25"/>
    </row>
    <row r="3" spans="1:4" ht="15" thickTop="1" x14ac:dyDescent="0.3"/>
    <row r="4" spans="1:4" x14ac:dyDescent="0.3">
      <c r="C4" s="10" t="s">
        <v>213</v>
      </c>
    </row>
    <row r="5" spans="1:4" x14ac:dyDescent="0.3">
      <c r="A5" s="10" t="s">
        <v>0</v>
      </c>
      <c r="B5" s="10" t="s">
        <v>7</v>
      </c>
      <c r="C5" t="s">
        <v>205</v>
      </c>
      <c r="D5" t="s">
        <v>206</v>
      </c>
    </row>
    <row r="6" spans="1:4" x14ac:dyDescent="0.3">
      <c r="A6" t="s">
        <v>10</v>
      </c>
      <c r="C6" s="13">
        <v>75085.089999999982</v>
      </c>
      <c r="D6" s="13">
        <v>75085.089999999982</v>
      </c>
    </row>
    <row r="7" spans="1:4" x14ac:dyDescent="0.3">
      <c r="B7" t="s">
        <v>33</v>
      </c>
      <c r="C7" s="13">
        <v>6302.41</v>
      </c>
      <c r="D7" s="13">
        <v>6302.41</v>
      </c>
    </row>
    <row r="8" spans="1:4" x14ac:dyDescent="0.3">
      <c r="B8" t="s">
        <v>31</v>
      </c>
      <c r="C8" s="13">
        <v>6118.84</v>
      </c>
      <c r="D8" s="13">
        <v>6118.84</v>
      </c>
    </row>
    <row r="9" spans="1:4" x14ac:dyDescent="0.3">
      <c r="B9" t="s">
        <v>29</v>
      </c>
      <c r="C9" s="13">
        <v>6118.84</v>
      </c>
      <c r="D9" s="13">
        <v>6118.84</v>
      </c>
    </row>
    <row r="10" spans="1:4" x14ac:dyDescent="0.3">
      <c r="B10" t="s">
        <v>13</v>
      </c>
      <c r="C10" s="13">
        <v>56544.999999999985</v>
      </c>
      <c r="D10" s="13">
        <v>56544.999999999985</v>
      </c>
    </row>
    <row r="11" spans="1:4" x14ac:dyDescent="0.3">
      <c r="A11" t="s">
        <v>34</v>
      </c>
      <c r="C11" s="13">
        <v>645086.38000000024</v>
      </c>
      <c r="D11" s="13">
        <v>682306.37000000023</v>
      </c>
    </row>
    <row r="12" spans="1:4" x14ac:dyDescent="0.3">
      <c r="B12" t="s">
        <v>33</v>
      </c>
      <c r="C12" s="13">
        <v>500</v>
      </c>
      <c r="D12" s="13">
        <v>500</v>
      </c>
    </row>
    <row r="13" spans="1:4" x14ac:dyDescent="0.3">
      <c r="B13" t="s">
        <v>31</v>
      </c>
      <c r="C13" s="13">
        <v>20521.399999999998</v>
      </c>
      <c r="D13" s="13">
        <v>20521.399999999998</v>
      </c>
    </row>
    <row r="14" spans="1:4" x14ac:dyDescent="0.3">
      <c r="B14" t="s">
        <v>29</v>
      </c>
      <c r="C14" s="13">
        <v>25926.35</v>
      </c>
      <c r="D14" s="13">
        <v>25926.35</v>
      </c>
    </row>
    <row r="15" spans="1:4" x14ac:dyDescent="0.3">
      <c r="B15" t="s">
        <v>13</v>
      </c>
      <c r="C15" s="13">
        <v>598138.63000000024</v>
      </c>
      <c r="D15" s="13">
        <v>635358.62000000023</v>
      </c>
    </row>
    <row r="16" spans="1:4" x14ac:dyDescent="0.3">
      <c r="A16" t="s">
        <v>124</v>
      </c>
      <c r="C16" s="13">
        <v>48151.78</v>
      </c>
      <c r="D16" s="13">
        <v>48151.78</v>
      </c>
    </row>
    <row r="17" spans="1:6" x14ac:dyDescent="0.3">
      <c r="B17" t="s">
        <v>29</v>
      </c>
      <c r="C17" s="13">
        <v>250</v>
      </c>
      <c r="D17" s="13">
        <v>250</v>
      </c>
    </row>
    <row r="18" spans="1:6" x14ac:dyDescent="0.3">
      <c r="B18" t="s">
        <v>13</v>
      </c>
      <c r="C18" s="13">
        <v>47901.78</v>
      </c>
      <c r="D18" s="13">
        <v>47901.78</v>
      </c>
    </row>
    <row r="19" spans="1:6" x14ac:dyDescent="0.3">
      <c r="A19" t="s">
        <v>126</v>
      </c>
      <c r="C19" s="13">
        <v>767315.13</v>
      </c>
      <c r="D19" s="13">
        <v>767315.13</v>
      </c>
    </row>
    <row r="20" spans="1:6" x14ac:dyDescent="0.3">
      <c r="B20" t="s">
        <v>29</v>
      </c>
      <c r="C20" s="13">
        <v>607872.01</v>
      </c>
      <c r="D20" s="13">
        <v>607872.01</v>
      </c>
    </row>
    <row r="21" spans="1:6" x14ac:dyDescent="0.3">
      <c r="B21" t="s">
        <v>13</v>
      </c>
      <c r="C21" s="13">
        <v>159443.12000000002</v>
      </c>
      <c r="D21" s="13">
        <v>159443.12000000002</v>
      </c>
    </row>
    <row r="22" spans="1:6" x14ac:dyDescent="0.3">
      <c r="A22" t="s">
        <v>133</v>
      </c>
      <c r="C22" s="13">
        <v>1003889.5400000004</v>
      </c>
      <c r="D22" s="13">
        <v>1006316.7400000003</v>
      </c>
    </row>
    <row r="23" spans="1:6" x14ac:dyDescent="0.3">
      <c r="B23" t="s">
        <v>33</v>
      </c>
      <c r="C23" s="13">
        <v>1861.25</v>
      </c>
      <c r="D23" s="13">
        <v>1861.25</v>
      </c>
    </row>
    <row r="24" spans="1:6" x14ac:dyDescent="0.3">
      <c r="B24" t="s">
        <v>31</v>
      </c>
      <c r="C24" s="13">
        <v>14276.93</v>
      </c>
      <c r="D24" s="13">
        <v>14276.93</v>
      </c>
    </row>
    <row r="25" spans="1:6" x14ac:dyDescent="0.3">
      <c r="B25" t="s">
        <v>29</v>
      </c>
      <c r="C25" s="13">
        <v>-425.65999999999985</v>
      </c>
      <c r="D25" s="13">
        <v>-425.65999999999985</v>
      </c>
    </row>
    <row r="26" spans="1:6" x14ac:dyDescent="0.3">
      <c r="B26" t="s">
        <v>13</v>
      </c>
      <c r="C26" s="13">
        <v>1003266.4200000004</v>
      </c>
      <c r="D26" s="13">
        <v>1005693.6200000003</v>
      </c>
    </row>
    <row r="27" spans="1:6" x14ac:dyDescent="0.3">
      <c r="B27" t="s">
        <v>196</v>
      </c>
      <c r="C27" s="13">
        <v>-15089.4</v>
      </c>
      <c r="D27" s="13">
        <v>-15089.4</v>
      </c>
    </row>
    <row r="28" spans="1:6" x14ac:dyDescent="0.3">
      <c r="A28" t="s">
        <v>207</v>
      </c>
      <c r="C28" s="13">
        <v>2539527.9200000009</v>
      </c>
      <c r="D28" s="13">
        <v>2579175.1100000008</v>
      </c>
    </row>
    <row r="30" spans="1:6" ht="23.4" x14ac:dyDescent="0.3">
      <c r="F30" s="23"/>
    </row>
  </sheetData>
  <mergeCells count="1">
    <mergeCell ref="A1:D2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showGridLines="0" zoomScaleNormal="100" workbookViewId="0">
      <selection activeCell="A15" sqref="A15"/>
    </sheetView>
  </sheetViews>
  <sheetFormatPr defaultColWidth="8.5546875" defaultRowHeight="14.4" x14ac:dyDescent="0.3"/>
  <cols>
    <col min="1" max="1" width="33.44140625" bestFit="1" customWidth="1"/>
    <col min="2" max="2" width="18.5546875" bestFit="1" customWidth="1"/>
  </cols>
  <sheetData>
    <row r="1" spans="1:2" x14ac:dyDescent="0.3">
      <c r="A1" s="22" t="s">
        <v>217</v>
      </c>
      <c r="B1" s="22"/>
    </row>
    <row r="2" spans="1:2" x14ac:dyDescent="0.3">
      <c r="A2" s="22"/>
      <c r="B2" s="22"/>
    </row>
    <row r="3" spans="1:2" x14ac:dyDescent="0.3">
      <c r="A3" s="10" t="s">
        <v>0</v>
      </c>
      <c r="B3" t="s">
        <v>212</v>
      </c>
    </row>
    <row r="5" spans="1:2" x14ac:dyDescent="0.3">
      <c r="A5" s="10" t="s">
        <v>4</v>
      </c>
      <c r="B5" t="s">
        <v>205</v>
      </c>
    </row>
    <row r="6" spans="1:2" x14ac:dyDescent="0.3">
      <c r="A6" t="s">
        <v>129</v>
      </c>
      <c r="B6" s="13">
        <v>77179.850000000006</v>
      </c>
    </row>
    <row r="7" spans="1:2" x14ac:dyDescent="0.3">
      <c r="A7" t="s">
        <v>175</v>
      </c>
      <c r="B7" s="13">
        <v>617438.82999999996</v>
      </c>
    </row>
    <row r="8" spans="1:2" x14ac:dyDescent="0.3">
      <c r="A8" t="s">
        <v>109</v>
      </c>
      <c r="B8" s="13">
        <v>31151.949999999997</v>
      </c>
    </row>
    <row r="9" spans="1:2" x14ac:dyDescent="0.3">
      <c r="A9" t="s">
        <v>85</v>
      </c>
      <c r="B9" s="13">
        <v>77179.850000000006</v>
      </c>
    </row>
    <row r="10" spans="1:2" x14ac:dyDescent="0.3">
      <c r="A10" t="s">
        <v>40</v>
      </c>
      <c r="B10" s="13">
        <v>35164.75</v>
      </c>
    </row>
    <row r="11" spans="1:2" x14ac:dyDescent="0.3">
      <c r="A11" t="s">
        <v>131</v>
      </c>
      <c r="B11" s="13">
        <v>515291.08</v>
      </c>
    </row>
    <row r="12" spans="1:2" x14ac:dyDescent="0.3">
      <c r="A12" t="s">
        <v>17</v>
      </c>
      <c r="B12" s="13">
        <v>70774.089999999982</v>
      </c>
    </row>
    <row r="13" spans="1:2" x14ac:dyDescent="0.3">
      <c r="A13" t="s">
        <v>47</v>
      </c>
      <c r="B13" s="13">
        <v>93154.87999999999</v>
      </c>
    </row>
    <row r="14" spans="1:2" x14ac:dyDescent="0.3">
      <c r="A14" t="s">
        <v>68</v>
      </c>
      <c r="B14" s="13">
        <v>63592.600000000006</v>
      </c>
    </row>
    <row r="15" spans="1:2" x14ac:dyDescent="0.3">
      <c r="A15" t="s">
        <v>146</v>
      </c>
      <c r="B15" s="13">
        <v>66286.600000000006</v>
      </c>
    </row>
    <row r="16" spans="1:2" x14ac:dyDescent="0.3">
      <c r="A16" t="s">
        <v>52</v>
      </c>
      <c r="B16" s="13">
        <v>316216.70999999996</v>
      </c>
    </row>
    <row r="17" spans="1:2" x14ac:dyDescent="0.3">
      <c r="A17" t="s">
        <v>53</v>
      </c>
      <c r="B17" s="13">
        <v>92635.939999999988</v>
      </c>
    </row>
    <row r="18" spans="1:2" x14ac:dyDescent="0.3">
      <c r="A18" t="s">
        <v>73</v>
      </c>
      <c r="B18" s="13">
        <v>30296</v>
      </c>
    </row>
    <row r="19" spans="1:2" x14ac:dyDescent="0.3">
      <c r="A19" t="s">
        <v>88</v>
      </c>
      <c r="B19" s="13">
        <v>30760.68</v>
      </c>
    </row>
    <row r="20" spans="1:2" x14ac:dyDescent="0.3">
      <c r="A20" t="s">
        <v>149</v>
      </c>
      <c r="B20" s="13">
        <v>83111.459999999963</v>
      </c>
    </row>
    <row r="21" spans="1:2" x14ac:dyDescent="0.3">
      <c r="A21" t="s">
        <v>207</v>
      </c>
      <c r="B21" s="13">
        <v>2200235.27</v>
      </c>
    </row>
  </sheetData>
  <mergeCells count="1">
    <mergeCell ref="A1:B2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 AP Data</vt:lpstr>
      <vt:lpstr>Entity Summary</vt:lpstr>
      <vt:lpstr>Aging Analysis</vt:lpstr>
      <vt:lpstr>Vendor Analysis</vt:lpstr>
      <vt:lpstr>Entity Aging</vt:lpstr>
      <vt:lpstr>Top 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nusrat8496@gmail.com</cp:lastModifiedBy>
  <cp:revision>1</cp:revision>
  <dcterms:created xsi:type="dcterms:W3CDTF">2026-06-03T16:15:44Z</dcterms:created>
  <dcterms:modified xsi:type="dcterms:W3CDTF">2026-06-04T13:52:16Z</dcterms:modified>
  <dc:language>en-US</dc:language>
</cp:coreProperties>
</file>